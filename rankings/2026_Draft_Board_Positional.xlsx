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B" sheetId="1" state="visible" r:id="rId3"/>
    <sheet name="WR" sheetId="2" state="visible" r:id="rId4"/>
    <sheet name="TE" sheetId="3" state="visible" r:id="rId5"/>
    <sheet name="QB" sheetId="4" state="visible" r:id="rId6"/>
    <sheet name="D-ST" sheetId="5" state="visible" r:id="rId7"/>
    <sheet name="Method &amp; Legend" sheetId="6" state="visible" r:id="rId8"/>
  </sheets>
  <definedNames>
    <definedName function="false" hidden="true" localSheetId="4" name="_xlnm._FilterDatabase" vbProcedure="false">'D-ST'!$A$1:$L$13</definedName>
    <definedName function="false" hidden="true" localSheetId="3" name="_xlnm._FilterDatabase" vbProcedure="false">QB!$A$1:$L$26</definedName>
    <definedName function="false" hidden="true" localSheetId="0" name="_xlnm._FilterDatabase" vbProcedure="false">RB!$A$1:$L$62</definedName>
    <definedName function="false" hidden="true" localSheetId="2" name="_xlnm._FilterDatabase" vbProcedure="false">TE!$A$1:$L$23</definedName>
    <definedName function="false" hidden="true" localSheetId="1" name="_xlnm._FilterDatabase" vbProcedure="false">WR!$A$1:$L$74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<sst xmlns="http://schemas.openxmlformats.org/spreadsheetml/2006/main" count="989" uniqueCount="607">
  <si>
    <t xml:space="preserve">POS RANK</t>
  </si>
  <si>
    <t xml:space="preserve">TIER</t>
  </si>
  <si>
    <t xml:space="preserve">TIER NAME</t>
  </si>
  <si>
    <t xml:space="preserve">PLAYER</t>
  </si>
  <si>
    <t xml:space="preserve">TEAM</t>
  </si>
  <si>
    <t xml:space="preserve">BYE</t>
  </si>
  <si>
    <t xml:space="preserve">MY OVR RANK</t>
  </si>
  <si>
    <t xml:space="preserve">ESPN OVR</t>
  </si>
  <si>
    <t xml:space="preserve">ESPN POS</t>
  </si>
  <si>
    <t xml:space="preserve">INDUSTRY ADP</t>
  </si>
  <si>
    <t xml:space="preserve">DELTA (ESPN-MINE)</t>
  </si>
  <si>
    <t xml:space="preserve">FLAGS</t>
  </si>
  <si>
    <t xml:space="preserve">RB T1 - Bellcow anchors</t>
  </si>
  <si>
    <t xml:space="preserve">Jahmyr Gibbs</t>
  </si>
  <si>
    <t xml:space="preserve">DET</t>
  </si>
  <si>
    <t xml:space="preserve">RB1</t>
  </si>
  <si>
    <t xml:space="preserve">Bijan Robinson</t>
  </si>
  <si>
    <t xml:space="preserve">ATL</t>
  </si>
  <si>
    <t xml:space="preserve">RB2</t>
  </si>
  <si>
    <t xml:space="preserve">Christian McCaffrey</t>
  </si>
  <si>
    <t xml:space="preserve">SF</t>
  </si>
  <si>
    <t xml:space="preserve">RB3</t>
  </si>
  <si>
    <t xml:space="preserve">Age 30 + 413 touches in 2025; consensus overvalued flag</t>
  </si>
  <si>
    <t xml:space="preserve">Jonathan Taylor</t>
  </si>
  <si>
    <t xml:space="preserve">IND</t>
  </si>
  <si>
    <t xml:space="preserve">RB4</t>
  </si>
  <si>
    <t xml:space="preserve">RB T2 - RB1 tier</t>
  </si>
  <si>
    <t xml:space="preserve">De'Von Achane</t>
  </si>
  <si>
    <t xml:space="preserve">MIA</t>
  </si>
  <si>
    <t xml:space="preserve">RB5</t>
  </si>
  <si>
    <t xml:space="preserve">ESPN 5.4 spots ahead of industry</t>
  </si>
  <si>
    <t xml:space="preserve">James Cook III</t>
  </si>
  <si>
    <t xml:space="preserve">BUF</t>
  </si>
  <si>
    <t xml:space="preserve">RB6</t>
  </si>
  <si>
    <t xml:space="preserve">Saquon Barkley</t>
  </si>
  <si>
    <t xml:space="preserve">PHI</t>
  </si>
  <si>
    <t xml:space="preserve">RB8</t>
  </si>
  <si>
    <t xml:space="preserve">Omarion Hampton</t>
  </si>
  <si>
    <t xml:space="preserve">LAC</t>
  </si>
  <si>
    <t xml:space="preserve">RB13</t>
  </si>
  <si>
    <t xml:space="preserve">ESPN value; Harbaugh run-heavy</t>
  </si>
  <si>
    <t xml:space="preserve">Derrick Henry</t>
  </si>
  <si>
    <t xml:space="preserve">BAL</t>
  </si>
  <si>
    <t xml:space="preserve">RB9</t>
  </si>
  <si>
    <t xml:space="preserve">RB T3 - Strong RB2</t>
  </si>
  <si>
    <t xml:space="preserve">Chase Brown</t>
  </si>
  <si>
    <t xml:space="preserve">CIN</t>
  </si>
  <si>
    <t xml:space="preserve">RB12</t>
  </si>
  <si>
    <t xml:space="preserve">Kenneth Walker III</t>
  </si>
  <si>
    <t xml:space="preserve">KC</t>
  </si>
  <si>
    <t xml:space="preserve">RB11</t>
  </si>
  <si>
    <t xml:space="preserve">Foot, expected to play; Emmett Johnson is RB2</t>
  </si>
  <si>
    <t xml:space="preserve">Ashton Jeanty</t>
  </si>
  <si>
    <t xml:space="preserve">LV</t>
  </si>
  <si>
    <t xml:space="preserve">RB10</t>
  </si>
  <si>
    <t xml:space="preserve">ANKLE: ~30% Wk1 per Kalshi; NOT on IR so back within 4wks</t>
  </si>
  <si>
    <t xml:space="preserve">Javonte Williams</t>
  </si>
  <si>
    <t xml:space="preserve">DAL</t>
  </si>
  <si>
    <t xml:space="preserve">RB15</t>
  </si>
  <si>
    <t xml:space="preserve">WK14 BYE; DAL cut Blue+Mafah, workload clean</t>
  </si>
  <si>
    <t xml:space="preserve">Kyren Williams</t>
  </si>
  <si>
    <t xml:space="preserve">LAR</t>
  </si>
  <si>
    <t xml:space="preserve">RB17</t>
  </si>
  <si>
    <t xml:space="preserve">Jeremiyah Love</t>
  </si>
  <si>
    <t xml:space="preserve">ARI</t>
  </si>
  <si>
    <t xml:space="preserve">RB7</t>
  </si>
  <si>
    <t xml:space="preserve">HIGH ANKLE ~50/50 Wk1; ESPN 18 ahead of industry; WK14 BYE</t>
  </si>
  <si>
    <t xml:space="preserve">Breece Hall</t>
  </si>
  <si>
    <t xml:space="preserve">NYJ</t>
  </si>
  <si>
    <t xml:space="preserve">RB14</t>
  </si>
  <si>
    <t xml:space="preserve">Groin since mid-Aug; Wk1 intact</t>
  </si>
  <si>
    <t xml:space="preserve">RB T4 - Dead-zone risk</t>
  </si>
  <si>
    <t xml:space="preserve">Travis Etienne Jr.</t>
  </si>
  <si>
    <t xml:space="preserve">NO</t>
  </si>
  <si>
    <t xml:space="preserve">RB16</t>
  </si>
  <si>
    <t xml:space="preserve">Quinshon Judkins</t>
  </si>
  <si>
    <t xml:space="preserve">CLE</t>
  </si>
  <si>
    <t xml:space="preserve">RB18</t>
  </si>
  <si>
    <t xml:space="preserve">ESPN 14 ahead of industry</t>
  </si>
  <si>
    <t xml:space="preserve">Cam Skattebo</t>
  </si>
  <si>
    <t xml:space="preserve">NYG</t>
  </si>
  <si>
    <t xml:space="preserve">RB19</t>
  </si>
  <si>
    <t xml:space="preserve">Najee Harris signing threatens volume</t>
  </si>
  <si>
    <t xml:space="preserve">Bucky Irving</t>
  </si>
  <si>
    <t xml:space="preserve">TB</t>
  </si>
  <si>
    <t xml:space="preserve">RB20</t>
  </si>
  <si>
    <t xml:space="preserve">D'Andre Swift</t>
  </si>
  <si>
    <t xml:space="preserve">CHI</t>
  </si>
  <si>
    <t xml:space="preserve">RB21</t>
  </si>
  <si>
    <t xml:space="preserve">David Montgomery</t>
  </si>
  <si>
    <t xml:space="preserve">HOU</t>
  </si>
  <si>
    <t xml:space="preserve">RB23</t>
  </si>
  <si>
    <t xml:space="preserve">ESPN VALUE +13; Marks may push toward 50/50</t>
  </si>
  <si>
    <t xml:space="preserve">Bhayshul Tuten</t>
  </si>
  <si>
    <t xml:space="preserve">JAC</t>
  </si>
  <si>
    <t xml:space="preserve">RB22</t>
  </si>
  <si>
    <t xml:space="preserve">Handling most JAX first-team work</t>
  </si>
  <si>
    <t xml:space="preserve">Jaylen Warren</t>
  </si>
  <si>
    <t xml:space="preserve">PIT</t>
  </si>
  <si>
    <t xml:space="preserve">RB27</t>
  </si>
  <si>
    <t xml:space="preserve">Splits with Dowdle</t>
  </si>
  <si>
    <t xml:space="preserve">RB T5 - Committee / upside</t>
  </si>
  <si>
    <t xml:space="preserve">Jadarian Price</t>
  </si>
  <si>
    <t xml:space="preserve">SEA</t>
  </si>
  <si>
    <t xml:space="preserve">RB24</t>
  </si>
  <si>
    <t xml:space="preserve">Rookie 1st-rounder; Charbonnet on PUP</t>
  </si>
  <si>
    <t xml:space="preserve">Rhamondre Stevenson</t>
  </si>
  <si>
    <t xml:space="preserve">NE</t>
  </si>
  <si>
    <t xml:space="preserve">RB26</t>
  </si>
  <si>
    <t xml:space="preserve">Tony Pollard</t>
  </si>
  <si>
    <t xml:space="preserve">TEN</t>
  </si>
  <si>
    <t xml:space="preserve">RB31</t>
  </si>
  <si>
    <t xml:space="preserve">ESPN VALUE +17; 4 straight 1,000yd seasons</t>
  </si>
  <si>
    <t xml:space="preserve">Rico Dowdle</t>
  </si>
  <si>
    <t xml:space="preserve">RB28</t>
  </si>
  <si>
    <t xml:space="preserve">MarShawn Lloyd</t>
  </si>
  <si>
    <t xml:space="preserve">GB</t>
  </si>
  <si>
    <t xml:space="preserve">RB33</t>
  </si>
  <si>
    <t xml:space="preserve">LEAD BACK with Jacobs on exempt list</t>
  </si>
  <si>
    <t xml:space="preserve">Jonathon Brooks</t>
  </si>
  <si>
    <t xml:space="preserve">CAR</t>
  </si>
  <si>
    <t xml:space="preserve">RB29</t>
  </si>
  <si>
    <t xml:space="preserve">Rising; Hubbard hamstring opened the split</t>
  </si>
  <si>
    <t xml:space="preserve">TreVeyon Henderson</t>
  </si>
  <si>
    <t xml:space="preserve">RB30</t>
  </si>
  <si>
    <t xml:space="preserve">Kenny Gainwell</t>
  </si>
  <si>
    <t xml:space="preserve">RB32</t>
  </si>
  <si>
    <t xml:space="preserve">Irving healthy, role shrank</t>
  </si>
  <si>
    <t xml:space="preserve">Chuba Hubbard</t>
  </si>
  <si>
    <t xml:space="preserve">RB34</t>
  </si>
  <si>
    <t xml:space="preserve">Hamstring; on track for Wk1</t>
  </si>
  <si>
    <t xml:space="preserve">J.K. Dobbins</t>
  </si>
  <si>
    <t xml:space="preserve">DEN</t>
  </si>
  <si>
    <t xml:space="preserve">RB35</t>
  </si>
  <si>
    <t xml:space="preserve">RB T6 - Handcuff + contingency</t>
  </si>
  <si>
    <t xml:space="preserve">Kyle Monangai</t>
  </si>
  <si>
    <t xml:space="preserve">RB36</t>
  </si>
  <si>
    <t xml:space="preserve">Jacory Croskey-Merritt</t>
  </si>
  <si>
    <t xml:space="preserve">WAS</t>
  </si>
  <si>
    <t xml:space="preserve">RB37</t>
  </si>
  <si>
    <t xml:space="preserve">Aaron Jones Sr.</t>
  </si>
  <si>
    <t xml:space="preserve">MIN</t>
  </si>
  <si>
    <t xml:space="preserve">RB38</t>
  </si>
  <si>
    <t xml:space="preserve">Jordan Mason</t>
  </si>
  <si>
    <t xml:space="preserve">RB40</t>
  </si>
  <si>
    <t xml:space="preserve">ESPN VALUE +18</t>
  </si>
  <si>
    <t xml:space="preserve">Blake Corum</t>
  </si>
  <si>
    <t xml:space="preserve">RB41</t>
  </si>
  <si>
    <t xml:space="preserve">ESPN VALUE +27</t>
  </si>
  <si>
    <t xml:space="preserve">RJ Harvey</t>
  </si>
  <si>
    <t xml:space="preserve">RB42</t>
  </si>
  <si>
    <t xml:space="preserve">ESPN VALUE +34</t>
  </si>
  <si>
    <t xml:space="preserve">Josh Jacobs</t>
  </si>
  <si>
    <t xml:space="preserve">RB25</t>
  </si>
  <si>
    <t xml:space="preserve">EXEMPT LIST, no return date, arraignment mid-Nov. ESPN still 37 ahead</t>
  </si>
  <si>
    <t xml:space="preserve">Woody Marks</t>
  </si>
  <si>
    <t xml:space="preserve">RB43</t>
  </si>
  <si>
    <t xml:space="preserve">Could approach 50/50 with Montgomery</t>
  </si>
  <si>
    <t xml:space="preserve">Tyler Allgeier</t>
  </si>
  <si>
    <t xml:space="preserve">RB48</t>
  </si>
  <si>
    <t xml:space="preserve">Wk1 starter if Love out; Conner on IR. WK14 BYE</t>
  </si>
  <si>
    <t xml:space="preserve">Rachaad White</t>
  </si>
  <si>
    <t xml:space="preserve">RB39</t>
  </si>
  <si>
    <t xml:space="preserve">RB T7 - Deep stash</t>
  </si>
  <si>
    <t xml:space="preserve">Mike Washington Jr.</t>
  </si>
  <si>
    <t xml:space="preserve">RB52</t>
  </si>
  <si>
    <t xml:space="preserve">JEANTY HANDCUFF; 119yds/15car preseason</t>
  </si>
  <si>
    <t xml:space="preserve">Zach Charbonnet</t>
  </si>
  <si>
    <t xml:space="preserve">RB44</t>
  </si>
  <si>
    <t xml:space="preserve">PUP, targeting ~Wk5. IR-SLOT ELIGIBLE</t>
  </si>
  <si>
    <t xml:space="preserve">Tyjae Spears</t>
  </si>
  <si>
    <t xml:space="preserve">RB45</t>
  </si>
  <si>
    <t xml:space="preserve">Out-snapping Pollard with Ward</t>
  </si>
  <si>
    <t xml:space="preserve">Braelon Allen</t>
  </si>
  <si>
    <t xml:space="preserve">RB53</t>
  </si>
  <si>
    <t xml:space="preserve">Hall groin handcuff</t>
  </si>
  <si>
    <t xml:space="preserve">Brian Robinson Jr.</t>
  </si>
  <si>
    <t xml:space="preserve">RB47</t>
  </si>
  <si>
    <t xml:space="preserve">Isiah Pacheco</t>
  </si>
  <si>
    <t xml:space="preserve">RB50</t>
  </si>
  <si>
    <t xml:space="preserve">James Conner</t>
  </si>
  <si>
    <t xml:space="preserve">OPENS ON IR, min 4 games. IR-SLOT ELIGIBLE. Off ESPN board</t>
  </si>
  <si>
    <t xml:space="preserve">Emmett Johnson</t>
  </si>
  <si>
    <t xml:space="preserve">RB69</t>
  </si>
  <si>
    <t xml:space="preserve">Won KC RB2 outright; Walker handcuff</t>
  </si>
  <si>
    <t xml:space="preserve">Chris Rodriguez Jr.</t>
  </si>
  <si>
    <t xml:space="preserve">RB46</t>
  </si>
  <si>
    <t xml:space="preserve">Jonah Coleman</t>
  </si>
  <si>
    <t xml:space="preserve">RB51</t>
  </si>
  <si>
    <t xml:space="preserve">Keaton Mitchell</t>
  </si>
  <si>
    <t xml:space="preserve">RB49</t>
  </si>
  <si>
    <t xml:space="preserve">Kaleb Johnson</t>
  </si>
  <si>
    <t xml:space="preserve">RB87</t>
  </si>
  <si>
    <t xml:space="preserve">Traded to GB into the Jacobs vacuum</t>
  </si>
  <si>
    <t xml:space="preserve">Tank Bigsby</t>
  </si>
  <si>
    <t xml:space="preserve">RB54</t>
  </si>
  <si>
    <t xml:space="preserve">Dylan Sampson</t>
  </si>
  <si>
    <t xml:space="preserve">RB56</t>
  </si>
  <si>
    <t xml:space="preserve">Ray Davis</t>
  </si>
  <si>
    <t xml:space="preserve">RB55</t>
  </si>
  <si>
    <t xml:space="preserve">Najee Harris</t>
  </si>
  <si>
    <t xml:space="preserve">RB57</t>
  </si>
  <si>
    <t xml:space="preserve">Threatens Tracy for NYG RB2</t>
  </si>
  <si>
    <t xml:space="preserve">Alvin Kamara</t>
  </si>
  <si>
    <t xml:space="preserve">RB58</t>
  </si>
  <si>
    <t xml:space="preserve">WR T1 - Every-week WR1</t>
  </si>
  <si>
    <t xml:space="preserve">Ja'Marr Chase</t>
  </si>
  <si>
    <t xml:space="preserve">WR1</t>
  </si>
  <si>
    <t xml:space="preserve">Hyperextended knee; expected Wk1, limited in practice</t>
  </si>
  <si>
    <t xml:space="preserve">Puka Nacua</t>
  </si>
  <si>
    <t xml:space="preserve">WR2</t>
  </si>
  <si>
    <t xml:space="preserve">Jaxon Smith-Njigba</t>
  </si>
  <si>
    <t xml:space="preserve">WR3</t>
  </si>
  <si>
    <t xml:space="preserve">Amon-Ra St. Brown</t>
  </si>
  <si>
    <t xml:space="preserve">WR4</t>
  </si>
  <si>
    <t xml:space="preserve">Justin Jefferson</t>
  </si>
  <si>
    <t xml:space="preserve">WR6</t>
  </si>
  <si>
    <t xml:space="preserve">Value gated on Kyler Murray winning MIN QB job</t>
  </si>
  <si>
    <t xml:space="preserve">CeeDee Lamb</t>
  </si>
  <si>
    <t xml:space="preserve">WR5</t>
  </si>
  <si>
    <t xml:space="preserve">WK14 BYE = your final regular-season week</t>
  </si>
  <si>
    <t xml:space="preserve">WR T2 - High-end WR1</t>
  </si>
  <si>
    <t xml:space="preserve">Nico Collins</t>
  </si>
  <si>
    <t xml:space="preserve">WR9</t>
  </si>
  <si>
    <t xml:space="preserve">ESPN low; Jayden Higgins ACL vacates HOU targets</t>
  </si>
  <si>
    <t xml:space="preserve">A.J. Brown</t>
  </si>
  <si>
    <t xml:space="preserve">WR10</t>
  </si>
  <si>
    <t xml:space="preserve">ESPN 6.5 behind industry</t>
  </si>
  <si>
    <t xml:space="preserve">Drake London</t>
  </si>
  <si>
    <t xml:space="preserve">WR7</t>
  </si>
  <si>
    <t xml:space="preserve">FADE: one 1,000yd season in four; ATL QB questions</t>
  </si>
  <si>
    <t xml:space="preserve">Chris Olave</t>
  </si>
  <si>
    <t xml:space="preserve">WR11</t>
  </si>
  <si>
    <t xml:space="preserve">RISER: Jordyn Tyson to IR makes Olave the focal point</t>
  </si>
  <si>
    <t xml:space="preserve">Malik Nabers</t>
  </si>
  <si>
    <t xml:space="preserve">WR12</t>
  </si>
  <si>
    <t xml:space="preserve">George Pickens</t>
  </si>
  <si>
    <t xml:space="preserve">WR14</t>
  </si>
  <si>
    <t xml:space="preserve">WK14 BYE</t>
  </si>
  <si>
    <t xml:space="preserve">Garrett Wilson</t>
  </si>
  <si>
    <t xml:space="preserve">WR13</t>
  </si>
  <si>
    <t xml:space="preserve">WR T3 - WR2</t>
  </si>
  <si>
    <t xml:space="preserve">Tee Higgins</t>
  </si>
  <si>
    <t xml:space="preserve">WR22</t>
  </si>
  <si>
    <t xml:space="preserve">ESPN VALUE +10; no health flags on him or Burrow</t>
  </si>
  <si>
    <t xml:space="preserve">DeVonta Smith</t>
  </si>
  <si>
    <t xml:space="preserve">WR17</t>
  </si>
  <si>
    <t xml:space="preserve">Zay Flowers</t>
  </si>
  <si>
    <t xml:space="preserve">WR15</t>
  </si>
  <si>
    <t xml:space="preserve">Tetairoa McMillan</t>
  </si>
  <si>
    <t xml:space="preserve">WR16</t>
  </si>
  <si>
    <t xml:space="preserve">Ladd McConkey</t>
  </si>
  <si>
    <t xml:space="preserve">WR20</t>
  </si>
  <si>
    <t xml:space="preserve">Terry McLaurin</t>
  </si>
  <si>
    <t xml:space="preserve">WR21</t>
  </si>
  <si>
    <t xml:space="preserve">Rashee Rice</t>
  </si>
  <si>
    <t xml:space="preserve">WR8</t>
  </si>
  <si>
    <t xml:space="preserve">FADE: 12 games in 2 seasons + offseason knee surgery</t>
  </si>
  <si>
    <t xml:space="preserve">Davante Adams</t>
  </si>
  <si>
    <t xml:space="preserve">WR19</t>
  </si>
  <si>
    <t xml:space="preserve">Jaylen Waddle</t>
  </si>
  <si>
    <t xml:space="preserve">WR23</t>
  </si>
  <si>
    <t xml:space="preserve">WR T4 - WR2/3 with upside</t>
  </si>
  <si>
    <t xml:space="preserve">Rome Odunze</t>
  </si>
  <si>
    <t xml:space="preserve">WR24</t>
  </si>
  <si>
    <t xml:space="preserve">WR1 in CHI with Burden hurt</t>
  </si>
  <si>
    <t xml:space="preserve">Emeka Egbuka</t>
  </si>
  <si>
    <t xml:space="preserve">WR18</t>
  </si>
  <si>
    <t xml:space="preserve">Toe sprain, missed practice; re-aggravation risk</t>
  </si>
  <si>
    <t xml:space="preserve">Jameson Williams</t>
  </si>
  <si>
    <t xml:space="preserve">WR25</t>
  </si>
  <si>
    <t xml:space="preserve">DJ Moore</t>
  </si>
  <si>
    <t xml:space="preserve">WR26</t>
  </si>
  <si>
    <t xml:space="preserve">Christian Watson</t>
  </si>
  <si>
    <t xml:space="preserve">WR35</t>
  </si>
  <si>
    <t xml:space="preserve">ESPN VALUE +20</t>
  </si>
  <si>
    <t xml:space="preserve">Carnell Tate</t>
  </si>
  <si>
    <t xml:space="preserve">WR28</t>
  </si>
  <si>
    <t xml:space="preserve">No.4 overall pick, installed as X</t>
  </si>
  <si>
    <t xml:space="preserve">Marvin Harrison Jr.</t>
  </si>
  <si>
    <t xml:space="preserve">WR31</t>
  </si>
  <si>
    <t xml:space="preserve">Brian Thomas Jr.</t>
  </si>
  <si>
    <t xml:space="preserve">WR38</t>
  </si>
  <si>
    <t xml:space="preserve">ESPN VALUE +13; strong camp, buy the down year</t>
  </si>
  <si>
    <t xml:space="preserve">Luther Burden III</t>
  </si>
  <si>
    <t xml:space="preserve">WR27</t>
  </si>
  <si>
    <t xml:space="preserve">Groin, ~month; Wk1 hoped but risky</t>
  </si>
  <si>
    <t xml:space="preserve">Parker Washington</t>
  </si>
  <si>
    <t xml:space="preserve">WR33</t>
  </si>
  <si>
    <t xml:space="preserve">ESPN VALUE +12</t>
  </si>
  <si>
    <t xml:space="preserve">WR T5 - Flex / WR3</t>
  </si>
  <si>
    <t xml:space="preserve">DK Metcalf</t>
  </si>
  <si>
    <t xml:space="preserve">WR32</t>
  </si>
  <si>
    <t xml:space="preserve">Courtland Sutton</t>
  </si>
  <si>
    <t xml:space="preserve">WR29</t>
  </si>
  <si>
    <t xml:space="preserve">Waddle arrival caps upside</t>
  </si>
  <si>
    <t xml:space="preserve">Mike Evans</t>
  </si>
  <si>
    <t xml:space="preserve">WR36</t>
  </si>
  <si>
    <t xml:space="preserve">Two quads + groin at 33; genuine analyst split</t>
  </si>
  <si>
    <t xml:space="preserve">Michael Pittman Jr.</t>
  </si>
  <si>
    <t xml:space="preserve">WR30</t>
  </si>
  <si>
    <t xml:space="preserve">ESPN 27 ahead of industry</t>
  </si>
  <si>
    <t xml:space="preserve">Jakobi Meyers</t>
  </si>
  <si>
    <t xml:space="preserve">WR40</t>
  </si>
  <si>
    <t xml:space="preserve">Matthew Golden</t>
  </si>
  <si>
    <t xml:space="preserve">WR37</t>
  </si>
  <si>
    <t xml:space="preserve">ESPN 31 ahead of industry</t>
  </si>
  <si>
    <t xml:space="preserve">Alec Pierce</t>
  </si>
  <si>
    <t xml:space="preserve">WR34</t>
  </si>
  <si>
    <t xml:space="preserve">ESPN 31 ahead; Keenan Allen signing hurts</t>
  </si>
  <si>
    <t xml:space="preserve">Michael Wilson</t>
  </si>
  <si>
    <t xml:space="preserve">WR39</t>
  </si>
  <si>
    <t xml:space="preserve">Quentin Johnston</t>
  </si>
  <si>
    <t xml:space="preserve">WR47</t>
  </si>
  <si>
    <t xml:space="preserve">ESPN VALUE +29</t>
  </si>
  <si>
    <t xml:space="preserve">Josh Downs</t>
  </si>
  <si>
    <t xml:space="preserve">WR49</t>
  </si>
  <si>
    <t xml:space="preserve">ESPN VALUE +32; full-PPR slot role</t>
  </si>
  <si>
    <t xml:space="preserve">Jayden Reed</t>
  </si>
  <si>
    <t xml:space="preserve">WR45</t>
  </si>
  <si>
    <t xml:space="preserve">Jordan Addison</t>
  </si>
  <si>
    <t xml:space="preserve">WR42</t>
  </si>
  <si>
    <t xml:space="preserve">WR T6 - Bench upside</t>
  </si>
  <si>
    <t xml:space="preserve">Chris Godwin Jr.</t>
  </si>
  <si>
    <t xml:space="preserve">WR52</t>
  </si>
  <si>
    <t xml:space="preserve">LARGEST ESPN GAP (+47)</t>
  </si>
  <si>
    <t xml:space="preserve">Makai Lemon</t>
  </si>
  <si>
    <t xml:space="preserve">WR51</t>
  </si>
  <si>
    <t xml:space="preserve">ESPN VALUE +30</t>
  </si>
  <si>
    <t xml:space="preserve">Stefon Diggs</t>
  </si>
  <si>
    <t xml:space="preserve">WR48</t>
  </si>
  <si>
    <t xml:space="preserve">ESPN VALUE +23</t>
  </si>
  <si>
    <t xml:space="preserve">Xavier Worthy</t>
  </si>
  <si>
    <t xml:space="preserve">WR46</t>
  </si>
  <si>
    <t xml:space="preserve">Khalil Shakir</t>
  </si>
  <si>
    <t xml:space="preserve">WR44</t>
  </si>
  <si>
    <t xml:space="preserve">ESPN 34 ahead of industry</t>
  </si>
  <si>
    <t xml:space="preserve">Deebo Samuel Sr.</t>
  </si>
  <si>
    <t xml:space="preserve">WR53</t>
  </si>
  <si>
    <t xml:space="preserve">Back in SF</t>
  </si>
  <si>
    <t xml:space="preserve">Rashid Shaheed</t>
  </si>
  <si>
    <t xml:space="preserve">WR56</t>
  </si>
  <si>
    <t xml:space="preserve">Romeo Doubs</t>
  </si>
  <si>
    <t xml:space="preserve">WR54</t>
  </si>
  <si>
    <t xml:space="preserve">Jalen Coker</t>
  </si>
  <si>
    <t xml:space="preserve">WR55</t>
  </si>
  <si>
    <t xml:space="preserve">~$12m/yr this offseason, larger role expected</t>
  </si>
  <si>
    <t xml:space="preserve">KC Concepcion</t>
  </si>
  <si>
    <t xml:space="preserve">WR50</t>
  </si>
  <si>
    <t xml:space="preserve">Wan'Dale Robinson</t>
  </si>
  <si>
    <t xml:space="preserve">WR41</t>
  </si>
  <si>
    <t xml:space="preserve">De'Zhaun Stribling</t>
  </si>
  <si>
    <t xml:space="preserve">WR43</t>
  </si>
  <si>
    <t xml:space="preserve">ESPN moved him UP 40 spots since Aug 21</t>
  </si>
  <si>
    <t xml:space="preserve">Jerry Jeudy</t>
  </si>
  <si>
    <t xml:space="preserve">WR59</t>
  </si>
  <si>
    <t xml:space="preserve">Calvin Ridley</t>
  </si>
  <si>
    <t xml:space="preserve">WR60</t>
  </si>
  <si>
    <t xml:space="preserve">WR T7 - Deep / stash</t>
  </si>
  <si>
    <t xml:space="preserve">Denzel Boston</t>
  </si>
  <si>
    <t xml:space="preserve">WR58</t>
  </si>
  <si>
    <t xml:space="preserve">Jalen McMillan</t>
  </si>
  <si>
    <t xml:space="preserve">WR57</t>
  </si>
  <si>
    <t xml:space="preserve">Jordyn Tyson</t>
  </si>
  <si>
    <t xml:space="preserve">WR64</t>
  </si>
  <si>
    <t xml:space="preserve">Short-term IR, hamstring. IR-SLOT ELIGIBLE</t>
  </si>
  <si>
    <t xml:space="preserve">Adonai Mitchell</t>
  </si>
  <si>
    <t xml:space="preserve">WR61</t>
  </si>
  <si>
    <t xml:space="preserve">Tre Tucker</t>
  </si>
  <si>
    <t xml:space="preserve">WR65</t>
  </si>
  <si>
    <t xml:space="preserve">Jalen Nailor</t>
  </si>
  <si>
    <t xml:space="preserve">WR66</t>
  </si>
  <si>
    <t xml:space="preserve">Likely LV WR1; consensus sleeper</t>
  </si>
  <si>
    <t xml:space="preserve">Caleb Douglas</t>
  </si>
  <si>
    <t xml:space="preserve">WR63</t>
  </si>
  <si>
    <t xml:space="preserve">Keenan Allen</t>
  </si>
  <si>
    <t xml:space="preserve">WR67</t>
  </si>
  <si>
    <t xml:space="preserve">Now a Colt; ADP climbing</t>
  </si>
  <si>
    <t xml:space="preserve">Tank Dell</t>
  </si>
  <si>
    <t xml:space="preserve">WR74</t>
  </si>
  <si>
    <t xml:space="preserve">Short-term IR. IR-SLOT ELIGIBLE</t>
  </si>
  <si>
    <t xml:space="preserve">Cooper Kupp</t>
  </si>
  <si>
    <t xml:space="preserve">WR83</t>
  </si>
  <si>
    <t xml:space="preserve">Travis Hunter</t>
  </si>
  <si>
    <t xml:space="preserve">WR62</t>
  </si>
  <si>
    <t xml:space="preserve">ESPN dropped him 91-&gt;147; still 57 ahead of industry</t>
  </si>
  <si>
    <t xml:space="preserve">Rashod Bateman</t>
  </si>
  <si>
    <t xml:space="preserve">WR68</t>
  </si>
  <si>
    <t xml:space="preserve">Jaylin Noel</t>
  </si>
  <si>
    <t xml:space="preserve">WR71</t>
  </si>
  <si>
    <t xml:space="preserve">Dontayvion Wicks</t>
  </si>
  <si>
    <t xml:space="preserve">WR69</t>
  </si>
  <si>
    <t xml:space="preserve">Devaughn Vele</t>
  </si>
  <si>
    <t xml:space="preserve">WR70</t>
  </si>
  <si>
    <t xml:space="preserve">TE T1 - Elite</t>
  </si>
  <si>
    <t xml:space="preserve">Brock Bowers</t>
  </si>
  <si>
    <t xml:space="preserve">TE2</t>
  </si>
  <si>
    <t xml:space="preserve">Elite TE; Wk13 bye vs McBride Wk14 = tiebreaker</t>
  </si>
  <si>
    <t xml:space="preserve">Trey McBride</t>
  </si>
  <si>
    <t xml:space="preserve">TE1</t>
  </si>
  <si>
    <t xml:space="preserve">WK14 BYE; ESPN 8 spots ahead of industry</t>
  </si>
  <si>
    <t xml:space="preserve">TE T2 - Weekly starter</t>
  </si>
  <si>
    <t xml:space="preserve">Colston Loveland</t>
  </si>
  <si>
    <t xml:space="preserve">TE3</t>
  </si>
  <si>
    <t xml:space="preserve">ESPN value; flagged as top TE buy</t>
  </si>
  <si>
    <t xml:space="preserve">Tyler Warren</t>
  </si>
  <si>
    <t xml:space="preserve">TE4</t>
  </si>
  <si>
    <t xml:space="preserve">Adductor strain, Wk1 expected</t>
  </si>
  <si>
    <t xml:space="preserve">Kyle Pitts Sr.</t>
  </si>
  <si>
    <t xml:space="preserve">TE5</t>
  </si>
  <si>
    <t xml:space="preserve">TE2 in PPR pts 2025; Tua upside</t>
  </si>
  <si>
    <t xml:space="preserve">TE T3 - Streaming-plus</t>
  </si>
  <si>
    <t xml:space="preserve">Harold Fannin Jr.</t>
  </si>
  <si>
    <t xml:space="preserve">TE6</t>
  </si>
  <si>
    <t xml:space="preserve">New WRs, new staff, QB uncertainty</t>
  </si>
  <si>
    <t xml:space="preserve">Sam LaPorta</t>
  </si>
  <si>
    <t xml:space="preserve">TE7</t>
  </si>
  <si>
    <t xml:space="preserve">Tucker Kraft</t>
  </si>
  <si>
    <t xml:space="preserve">TE9</t>
  </si>
  <si>
    <t xml:space="preserve">ESPN VALUE +23; activated from PUP</t>
  </si>
  <si>
    <t xml:space="preserve">George Kittle</t>
  </si>
  <si>
    <t xml:space="preserve">TE8</t>
  </si>
  <si>
    <t xml:space="preserve">ACHILLES; SF opens Thu Sep 10 in Melbourne, 3 fewer rest days</t>
  </si>
  <si>
    <t xml:space="preserve">TE T4 - Replacement</t>
  </si>
  <si>
    <t xml:space="preserve">Jake Ferguson</t>
  </si>
  <si>
    <t xml:space="preserve">TE12</t>
  </si>
  <si>
    <t xml:space="preserve">Isaiah Likely</t>
  </si>
  <si>
    <t xml:space="preserve">TE14</t>
  </si>
  <si>
    <t xml:space="preserve">Dalton Kincaid</t>
  </si>
  <si>
    <t xml:space="preserve">TE15</t>
  </si>
  <si>
    <t xml:space="preserve">Mark Andrews</t>
  </si>
  <si>
    <t xml:space="preserve">TE13</t>
  </si>
  <si>
    <t xml:space="preserve">ESPN 26 ahead of industry</t>
  </si>
  <si>
    <t xml:space="preserve">Travis Kelce</t>
  </si>
  <si>
    <t xml:space="preserve">TE11</t>
  </si>
  <si>
    <t xml:space="preserve">Turns 37 in Oct; TE3 in PPR as recently as 2025</t>
  </si>
  <si>
    <t xml:space="preserve">TE T5 - Avoid at ESPN price</t>
  </si>
  <si>
    <t xml:space="preserve">Dallas Goedert</t>
  </si>
  <si>
    <t xml:space="preserve">TE10</t>
  </si>
  <si>
    <t xml:space="preserve">ESPN 33 ahead of industry</t>
  </si>
  <si>
    <t xml:space="preserve">Kenyon Sadiq</t>
  </si>
  <si>
    <t xml:space="preserve">TE19</t>
  </si>
  <si>
    <t xml:space="preserve">Hernia setback; ESPN 35 ahead of industry</t>
  </si>
  <si>
    <t xml:space="preserve">Brenton Strange</t>
  </si>
  <si>
    <t xml:space="preserve">TE21</t>
  </si>
  <si>
    <t xml:space="preserve">Chig Okonkwo</t>
  </si>
  <si>
    <t xml:space="preserve">TE25</t>
  </si>
  <si>
    <t xml:space="preserve">Consensus sleeper; $10m/yr from WAS</t>
  </si>
  <si>
    <t xml:space="preserve">T.J. Hockenson</t>
  </si>
  <si>
    <t xml:space="preserve">TE16</t>
  </si>
  <si>
    <t xml:space="preserve">ESPN 57 AHEAD of industry - biggest TE trap</t>
  </si>
  <si>
    <t xml:space="preserve">Hunter Henry</t>
  </si>
  <si>
    <t xml:space="preserve">TE17</t>
  </si>
  <si>
    <t xml:space="preserve">ESPN 54 ahead; AJB+Doubs added</t>
  </si>
  <si>
    <t xml:space="preserve">Terrance Ferguson</t>
  </si>
  <si>
    <t xml:space="preserve">TE18</t>
  </si>
  <si>
    <t xml:space="preserve">ESPN 29 ahead of industry</t>
  </si>
  <si>
    <t xml:space="preserve">Juwan Johnson</t>
  </si>
  <si>
    <t xml:space="preserve">TE20</t>
  </si>
  <si>
    <t xml:space="preserve">Fant + Tyson added competition</t>
  </si>
  <si>
    <t xml:space="preserve">QB T1 - Only early-worthy QB</t>
  </si>
  <si>
    <t xml:space="preserve">Josh Allen</t>
  </si>
  <si>
    <t xml:space="preserve">QB1</t>
  </si>
  <si>
    <t xml:space="preserve">Only QB worth a pre-round-8 pick in this format</t>
  </si>
  <si>
    <t xml:space="preserve">QB T2 - Premium, overpriced here</t>
  </si>
  <si>
    <t xml:space="preserve">Lamar Jackson</t>
  </si>
  <si>
    <t xml:space="preserve">QB3</t>
  </si>
  <si>
    <t xml:space="preserve">Drake Maye</t>
  </si>
  <si>
    <t xml:space="preserve">QB4</t>
  </si>
  <si>
    <t xml:space="preserve">Joe Burrow</t>
  </si>
  <si>
    <t xml:space="preserve">QB6</t>
  </si>
  <si>
    <t xml:space="preserve">Jayden Daniels</t>
  </si>
  <si>
    <t xml:space="preserve">QB2</t>
  </si>
  <si>
    <t xml:space="preserve">FADE: 2025 regression, thin weapons; ESPN 18 ahead</t>
  </si>
  <si>
    <t xml:space="preserve">QB T3 - The target band</t>
  </si>
  <si>
    <t xml:space="preserve">Jalen Hurts</t>
  </si>
  <si>
    <t xml:space="preserve">QB5</t>
  </si>
  <si>
    <t xml:space="preserve">ESPN 20 ahead of industry</t>
  </si>
  <si>
    <t xml:space="preserve">Trevor Lawrence</t>
  </si>
  <si>
    <t xml:space="preserve">QB8</t>
  </si>
  <si>
    <t xml:space="preserve">Coen offense; consensus undervalued</t>
  </si>
  <si>
    <t xml:space="preserve">Dak Prescott</t>
  </si>
  <si>
    <t xml:space="preserve">QB9</t>
  </si>
  <si>
    <t xml:space="preserve">Consensus undervalued; WK14 BYE</t>
  </si>
  <si>
    <t xml:space="preserve">Caleb Williams</t>
  </si>
  <si>
    <t xml:space="preserve">QB13</t>
  </si>
  <si>
    <t xml:space="preserve">QB T4 - Late value</t>
  </si>
  <si>
    <t xml:space="preserve">Justin Herbert</t>
  </si>
  <si>
    <t xml:space="preserve">QB14</t>
  </si>
  <si>
    <t xml:space="preserve">Kyler Murray</t>
  </si>
  <si>
    <t xml:space="preserve">QB16</t>
  </si>
  <si>
    <t xml:space="preserve">ESPN VALUE +16; must beat out McCarthy</t>
  </si>
  <si>
    <t xml:space="preserve">Jared Goff</t>
  </si>
  <si>
    <t xml:space="preserve">QB18</t>
  </si>
  <si>
    <t xml:space="preserve">ESPN VALUE +28; Wk1 NO-DET O/U 49.5</t>
  </si>
  <si>
    <t xml:space="preserve">Baker Mayfield</t>
  </si>
  <si>
    <t xml:space="preserve">QB20</t>
  </si>
  <si>
    <t xml:space="preserve">ESPN VALUE +23; Wk1 TB-CIN O/U 51.5</t>
  </si>
  <si>
    <t xml:space="preserve">Malik Willis</t>
  </si>
  <si>
    <t xml:space="preserve">QB21</t>
  </si>
  <si>
    <t xml:space="preserve">ESPN VALUE +18; rushing upside, negative game scripts</t>
  </si>
  <si>
    <t xml:space="preserve">QB T5 - Streamers</t>
  </si>
  <si>
    <t xml:space="preserve">Matthew Stafford</t>
  </si>
  <si>
    <t xml:space="preserve">QB12</t>
  </si>
  <si>
    <t xml:space="preserve">ESPN 18 ahead of industry</t>
  </si>
  <si>
    <t xml:space="preserve">Brock Purdy</t>
  </si>
  <si>
    <t xml:space="preserve">QB11</t>
  </si>
  <si>
    <t xml:space="preserve">Patrick Mahomes</t>
  </si>
  <si>
    <t xml:space="preserve">QB15</t>
  </si>
  <si>
    <t xml:space="preserve">ACL/LCL recovery; rushing upside reduced, Reid non-committal on Wk1</t>
  </si>
  <si>
    <t xml:space="preserve">Jaxson Dart</t>
  </si>
  <si>
    <t xml:space="preserve">QB7</t>
  </si>
  <si>
    <t xml:space="preserve">ESPN 28 ahead of industry - biggest QB trap on the board</t>
  </si>
  <si>
    <t xml:space="preserve">Bo Nix</t>
  </si>
  <si>
    <t xml:space="preserve">QB10</t>
  </si>
  <si>
    <t xml:space="preserve">ESPN 32 ahead of industry</t>
  </si>
  <si>
    <t xml:space="preserve">Tyler Shough</t>
  </si>
  <si>
    <t xml:space="preserve">QB17</t>
  </si>
  <si>
    <t xml:space="preserve">Daniel Jones</t>
  </si>
  <si>
    <t xml:space="preserve">QB19</t>
  </si>
  <si>
    <t xml:space="preserve">Jordan Love</t>
  </si>
  <si>
    <t xml:space="preserve">QB22</t>
  </si>
  <si>
    <t xml:space="preserve">C.J. Stroud</t>
  </si>
  <si>
    <t xml:space="preserve">QB23</t>
  </si>
  <si>
    <t xml:space="preserve">Sam Darnold</t>
  </si>
  <si>
    <t xml:space="preserve">QB24</t>
  </si>
  <si>
    <t xml:space="preserve">Cam Ward</t>
  </si>
  <si>
    <t xml:space="preserve">QB26</t>
  </si>
  <si>
    <t xml:space="preserve">FADE: 54.2% comp, 0 TD on 24 preseason att, 69.1 rating</t>
  </si>
  <si>
    <t xml:space="preserve">DST T1 - Best Wk1 setups</t>
  </si>
  <si>
    <t xml:space="preserve">Texans D/ST</t>
  </si>
  <si>
    <t xml:space="preserve">DST1</t>
  </si>
  <si>
    <t xml:space="preserve">Wk1 vs BUF</t>
  </si>
  <si>
    <t xml:space="preserve">Broncos D/ST</t>
  </si>
  <si>
    <t xml:space="preserve">DST2</t>
  </si>
  <si>
    <t xml:space="preserve">Wk1 @KC</t>
  </si>
  <si>
    <t xml:space="preserve">Steelers D/ST</t>
  </si>
  <si>
    <t xml:space="preserve">DST3</t>
  </si>
  <si>
    <t xml:space="preserve">Wk1 vs ATL; consensus undervalued</t>
  </si>
  <si>
    <t xml:space="preserve">Rams D/ST</t>
  </si>
  <si>
    <t xml:space="preserve">DST5</t>
  </si>
  <si>
    <t xml:space="preserve">Wk1 vs SF; consensus says drafting at ceiling</t>
  </si>
  <si>
    <t xml:space="preserve">DST T2 - Streamable</t>
  </si>
  <si>
    <t xml:space="preserve">Seahawks D/ST</t>
  </si>
  <si>
    <t xml:space="preserve">DST4</t>
  </si>
  <si>
    <t xml:space="preserve">Wk1 vs NE</t>
  </si>
  <si>
    <t xml:space="preserve">Eagles D/ST</t>
  </si>
  <si>
    <t xml:space="preserve">DST7</t>
  </si>
  <si>
    <t xml:space="preserve">Wk1 vs WAS</t>
  </si>
  <si>
    <t xml:space="preserve">Ravens D/ST</t>
  </si>
  <si>
    <t xml:space="preserve">DST6</t>
  </si>
  <si>
    <t xml:space="preserve">Wk1 @IND</t>
  </si>
  <si>
    <t xml:space="preserve">Patriots D/ST</t>
  </si>
  <si>
    <t xml:space="preserve">DST9</t>
  </si>
  <si>
    <t xml:space="preserve">Wk1 @SEA</t>
  </si>
  <si>
    <t xml:space="preserve">Browns D/ST</t>
  </si>
  <si>
    <t xml:space="preserve">DST8</t>
  </si>
  <si>
    <t xml:space="preserve">Wk1 @JAX</t>
  </si>
  <si>
    <t xml:space="preserve">Lions D/ST</t>
  </si>
  <si>
    <t xml:space="preserve">DST10</t>
  </si>
  <si>
    <t xml:space="preserve">Wk1 vs NO</t>
  </si>
  <si>
    <t xml:space="preserve">Chiefs D/ST</t>
  </si>
  <si>
    <t xml:space="preserve">DST11</t>
  </si>
  <si>
    <t xml:space="preserve">Wk1 vs DEN</t>
  </si>
  <si>
    <t xml:space="preserve">Chargers D/ST</t>
  </si>
  <si>
    <t xml:space="preserve">DST12</t>
  </si>
  <si>
    <t xml:space="preserve">Wk1 vs ARZ</t>
  </si>
  <si>
    <t xml:space="preserve">2026 DRAFT BOARD - METHOD &amp; LEGEND</t>
  </si>
  <si>
    <t xml:space="preserve">League: 'Boys Rule Girls Drule' | 10-team | Full PPR | Snake | Draft Sep 4 2026 8:00pm EDT</t>
  </si>
  <si>
    <t xml:space="preserve">Lineup: QB / RB / RB / WR / WR / WR-TE / TE / FLEX / D-ST | 16 roster, 7 bench, 3 IR | NO KICKER</t>
  </si>
  <si>
    <t xml:space="preserve">SOURCES</t>
  </si>
  <si>
    <t xml:space="preserve">ESPN Ovr / ESPN Pos / ESPN $ : ESPN Fantasy Draft Kit, PPR Top 300 cheat sheet, last update Mon Aug 31 2026.</t>
  </si>
  <si>
    <t xml:space="preserve">   ESPN's sheet assumes 10 teams, 1QB/2RB/2WR/1TE/1FLEX/1K/1DST/7BE - same size as ours, K swapped for WR-TE.</t>
  </si>
  <si>
    <t xml:space="preserve">Industry ADP : four-source average from RotoWire, Jerry Donabedian, Aug 21 2026 =</t>
  </si>
  <si>
    <t xml:space="preserve">   Fantrax redraft PPR + Drafters best ball + NFFC August high-stakes + Donabedian's own PPR ranks.</t>
  </si>
  <si>
    <t xml:space="preserve">   Blank where that article did not list the player.</t>
  </si>
  <si>
    <t xml:space="preserve">News layer : reporting through Sept 1 2026. See FLAGS column.</t>
  </si>
  <si>
    <t xml:space="preserve">League history : 2023-2025 draft boards and final standings supplied by the user (all 10 managers identical to 2026).</t>
  </si>
  <si>
    <t xml:space="preserve">HOW MY RANK IS BUILT</t>
  </si>
  <si>
    <t xml:space="preserve">Base = blend of ESPN Aug-31 board and the industry four-source average, then three adjustment layers:</t>
  </si>
  <si>
    <t xml:space="preserve">(1) NEWS - availability discount for Jacobs (exempt list), Love and Jeanty (ankles), Rice, Hall, Kittle, Egbuka,</t>
  </si>
  <si>
    <t xml:space="preserve">    Burden; promotion for the beneficiaries (MarShawn Lloyd, Allgeier, Mike Washington Jr., Emmett Johnson, Olave).</t>
  </si>
  <si>
    <t xml:space="preserve">(2) LEAGUE DRAFT TRENDS, 3 YEARS - QBs pushed DOWN: 10 teams, 1 QB, 4-pt passing TD, and six QBs come off the</t>
  </si>
  <si>
    <t xml:space="preserve">    board by pick 60 every single year regardless of what you do, with startable arms still there at pick 130.</t>
  </si>
  <si>
    <t xml:space="preserve">    TE1-10 held at ESPN level: 8-10 TEs are gone by roughly pick 90 in each of the last three drafts, so the</t>
  </si>
  <si>
    <t xml:space="preserve">    position is binary - elite tier early or be inside the pick 73-92 run. TE11+ pushed down hard.</t>
  </si>
  <si>
    <t xml:space="preserve">    RB scarcity respected: the league ran 7 RBs in round 2 in 2025 and 23 RBs inside the top 50 picks.</t>
  </si>
  <si>
    <t xml:space="preserve">(3) LEAGUE STRUCTURE -</t>
  </si>
  <si>
    <t xml:space="preserve">    Kickers deleted entirely (no K slot; ESPN's first K is overall 181, outside a 160-pick draft anyway).</t>
  </si>
  <si>
    <t xml:space="preserve">    WR replacement level moves from ~WR25 (ESPN's 2-WR assumption) to ~WR35 (our 2 WR + WR-TE + FLEX).</t>
  </si>
  <si>
    <t xml:space="preserve">       Effect: the WR20-45 band is worth more to us than to the league ESPN built this sheet for.</t>
  </si>
  <si>
    <t xml:space="preserve">    Week 14 bye penalty: 14 regular-season matchups means Wk14 is the LAST week before playoffs.</t>
  </si>
  <si>
    <t xml:space="preserve">       Cardinals and Cowboys are on bye. Applied to Lamb, Pickens, Javonte, McBride, MHJ, Ferguson, Love, Allgeier.</t>
  </si>
  <si>
    <t xml:space="preserve">    Week 11 congestion flag: six teams on bye (ATL, CLE, GB, LAR, NE, SEA). Avoid stacking.</t>
  </si>
  <si>
    <t xml:space="preserve">    IR bonus: 3 IR slots and NO FAAB (waivers reset to inverse standings), so IR-eligible injured players</t>
  </si>
  <si>
    <t xml:space="preserve">       cost zero roster spots and handcuffs cannot be bought later. Both promoted in the endgame tiers.</t>
  </si>
  <si>
    <t xml:space="preserve">COLUMN GUIDE</t>
  </si>
  <si>
    <t xml:space="preserve">MY RANK        My board. Draft in this order, subject to positional need.</t>
  </si>
  <si>
    <t xml:space="preserve">DELTA          = ESPN Ovr - My Rank. POSITIVE means ESPN ranks him LATER than I do, so he should</t>
  </si>
  <si>
    <t xml:space="preserve">               fall to you - these are the targets. NEGATIVE means the room will take him before I would.</t>
  </si>
  <si>
    <t xml:space="preserve">ESPN $         ESPN's salary-cap value, 10 teams / $200. Everything from ESPN rank 141 down is $0,</t>
  </si>
  <si>
    <t xml:space="preserve">               i.e. ESPN sees no value difference across your last two rounds.</t>
  </si>
  <si>
    <t xml:space="preserve">FLAGS          Injury, availability, bye, and value notes as of Sept 1 2026.</t>
  </si>
  <si>
    <t xml:space="preserve">KNOWN LIMITS</t>
  </si>
  <si>
    <t xml:space="preserve">Industry ADP column is 11 days older than the ESPN column; it pre-dates the Jacobs exempt-list news.</t>
  </si>
  <si>
    <t xml:space="preserve">ESPN updates its board daily - re-check Love, Jeanty, Jacobs and Conner in the live draft room before Friday.</t>
  </si>
  <si>
    <t xml:space="preserve">Bye weeks are taken from the ESPN cheat sheet's own bye table.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</si>
</sst>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12</v>
      </c>
      <c r="D2" s="4" t="s">
        <v>13</v>
      </c>
      <c r="E2" s="2" t="s">
        <v>14</v>
      </c>
      <c r="F2" s="2" t="n">
        <v>6</v>
      </c>
      <c r="G2" s="2" t="n">
        <v>1</v>
      </c>
      <c r="H2" s="2" t="n">
        <v>1</v>
      </c>
      <c r="I2" s="2" t="s">
        <v>15</v>
      </c>
      <c r="J2" s="3" t="n">
        <v>1.3</v>
      </c>
      <c r="K2" s="2" t="n">
        <f aca="false">IF(H2="","",H2-G2)</f>
        <v>0</v>
      </c>
      <c r="L2" s="3"/>
    </row>
    <row r="3" customFormat="false" ht="15" hidden="false" customHeight="false" outlineLevel="0" collapsed="false">
      <c r="A3" s="5" t="n">
        <v>2</v>
      </c>
      <c r="B3" s="5" t="n">
        <v>1</v>
      </c>
      <c r="C3" s="6" t="s">
        <v>12</v>
      </c>
      <c r="D3" s="7" t="s">
        <v>16</v>
      </c>
      <c r="E3" s="5" t="s">
        <v>17</v>
      </c>
      <c r="F3" s="5" t="n">
        <v>11</v>
      </c>
      <c r="G3" s="5" t="n">
        <v>2</v>
      </c>
      <c r="H3" s="5" t="n">
        <v>2</v>
      </c>
      <c r="I3" s="5" t="s">
        <v>18</v>
      </c>
      <c r="J3" s="6" t="n">
        <v>2.3</v>
      </c>
      <c r="K3" s="5" t="n">
        <f aca="false">IF(H3="","",H3-G3)</f>
        <v>0</v>
      </c>
      <c r="L3" s="6"/>
    </row>
    <row r="4" customFormat="false" ht="15" hidden="false" customHeight="false" outlineLevel="0" collapsed="false">
      <c r="A4" s="5" t="n">
        <v>3</v>
      </c>
      <c r="B4" s="5" t="n">
        <v>1</v>
      </c>
      <c r="C4" s="6" t="s">
        <v>12</v>
      </c>
      <c r="D4" s="7" t="s">
        <v>19</v>
      </c>
      <c r="E4" s="5" t="s">
        <v>20</v>
      </c>
      <c r="F4" s="5" t="n">
        <v>8</v>
      </c>
      <c r="G4" s="5" t="n">
        <v>6</v>
      </c>
      <c r="H4" s="5" t="n">
        <v>6</v>
      </c>
      <c r="I4" s="5" t="s">
        <v>21</v>
      </c>
      <c r="J4" s="6" t="n">
        <v>6.3</v>
      </c>
      <c r="K4" s="5" t="n">
        <f aca="false">IF(H4="","",H4-G4)</f>
        <v>0</v>
      </c>
      <c r="L4" s="8" t="s">
        <v>22</v>
      </c>
    </row>
    <row r="5" customFormat="false" ht="15" hidden="false" customHeight="false" outlineLevel="0" collapsed="false">
      <c r="A5" s="5" t="n">
        <v>4</v>
      </c>
      <c r="B5" s="5" t="n">
        <v>1</v>
      </c>
      <c r="C5" s="6" t="s">
        <v>12</v>
      </c>
      <c r="D5" s="7" t="s">
        <v>23</v>
      </c>
      <c r="E5" s="5" t="s">
        <v>24</v>
      </c>
      <c r="F5" s="5" t="n">
        <v>13</v>
      </c>
      <c r="G5" s="5" t="n">
        <v>8</v>
      </c>
      <c r="H5" s="5" t="n">
        <v>7</v>
      </c>
      <c r="I5" s="5" t="s">
        <v>25</v>
      </c>
      <c r="J5" s="6" t="n">
        <v>8.5</v>
      </c>
      <c r="K5" s="5" t="n">
        <f aca="false">IF(H5="","",H5-G5)</f>
        <v>-1</v>
      </c>
      <c r="L5" s="6"/>
    </row>
    <row r="6" customFormat="false" ht="15" hidden="false" customHeight="false" outlineLevel="0" collapsed="false">
      <c r="A6" s="2" t="n">
        <v>5</v>
      </c>
      <c r="B6" s="2" t="n">
        <v>2</v>
      </c>
      <c r="C6" s="3" t="s">
        <v>26</v>
      </c>
      <c r="D6" s="4" t="s">
        <v>27</v>
      </c>
      <c r="E6" s="2" t="s">
        <v>28</v>
      </c>
      <c r="F6" s="2" t="n">
        <v>6</v>
      </c>
      <c r="G6" s="2" t="n">
        <v>9</v>
      </c>
      <c r="H6" s="2" t="n">
        <v>11</v>
      </c>
      <c r="I6" s="2" t="s">
        <v>29</v>
      </c>
      <c r="J6" s="3" t="n">
        <v>15.4</v>
      </c>
      <c r="K6" s="2" t="n">
        <f aca="false">IF(H6="","",H6-G6)</f>
        <v>2</v>
      </c>
      <c r="L6" s="8" t="s">
        <v>30</v>
      </c>
    </row>
    <row r="7" customFormat="false" ht="15" hidden="false" customHeight="false" outlineLevel="0" collapsed="false">
      <c r="A7" s="5" t="n">
        <v>6</v>
      </c>
      <c r="B7" s="5" t="n">
        <v>2</v>
      </c>
      <c r="C7" s="6" t="s">
        <v>26</v>
      </c>
      <c r="D7" s="7" t="s">
        <v>31</v>
      </c>
      <c r="E7" s="5" t="s">
        <v>32</v>
      </c>
      <c r="F7" s="5" t="n">
        <v>7</v>
      </c>
      <c r="G7" s="5" t="n">
        <v>12</v>
      </c>
      <c r="H7" s="5" t="n">
        <v>12</v>
      </c>
      <c r="I7" s="5" t="s">
        <v>33</v>
      </c>
      <c r="J7" s="6" t="n">
        <v>10.9</v>
      </c>
      <c r="K7" s="5" t="n">
        <f aca="false">IF(H7="","",H7-G7)</f>
        <v>0</v>
      </c>
      <c r="L7" s="6"/>
    </row>
    <row r="8" customFormat="false" ht="15" hidden="false" customHeight="false" outlineLevel="0" collapsed="false">
      <c r="A8" s="5" t="n">
        <v>7</v>
      </c>
      <c r="B8" s="5" t="n">
        <v>2</v>
      </c>
      <c r="C8" s="6" t="s">
        <v>26</v>
      </c>
      <c r="D8" s="7" t="s">
        <v>34</v>
      </c>
      <c r="E8" s="5" t="s">
        <v>35</v>
      </c>
      <c r="F8" s="5" t="n">
        <v>10</v>
      </c>
      <c r="G8" s="5" t="n">
        <v>16</v>
      </c>
      <c r="H8" s="5" t="n">
        <v>15</v>
      </c>
      <c r="I8" s="5" t="s">
        <v>36</v>
      </c>
      <c r="J8" s="6" t="n">
        <v>15.3</v>
      </c>
      <c r="K8" s="5" t="n">
        <f aca="false">IF(H8="","",H8-G8)</f>
        <v>-1</v>
      </c>
      <c r="L8" s="6"/>
    </row>
    <row r="9" customFormat="false" ht="15" hidden="false" customHeight="false" outlineLevel="0" collapsed="false">
      <c r="A9" s="5" t="n">
        <v>8</v>
      </c>
      <c r="B9" s="5" t="n">
        <v>2</v>
      </c>
      <c r="C9" s="6" t="s">
        <v>26</v>
      </c>
      <c r="D9" s="7" t="s">
        <v>37</v>
      </c>
      <c r="E9" s="5" t="s">
        <v>38</v>
      </c>
      <c r="F9" s="5" t="n">
        <v>7</v>
      </c>
      <c r="G9" s="5" t="n">
        <v>17</v>
      </c>
      <c r="H9" s="5" t="n">
        <v>22</v>
      </c>
      <c r="I9" s="5" t="s">
        <v>39</v>
      </c>
      <c r="J9" s="6" t="n">
        <v>16.1</v>
      </c>
      <c r="K9" s="5" t="n">
        <f aca="false">IF(H9="","",H9-G9)</f>
        <v>5</v>
      </c>
      <c r="L9" s="8" t="s">
        <v>40</v>
      </c>
    </row>
    <row r="10" customFormat="false" ht="15" hidden="false" customHeight="false" outlineLevel="0" collapsed="false">
      <c r="A10" s="5" t="n">
        <v>9</v>
      </c>
      <c r="B10" s="5" t="n">
        <v>2</v>
      </c>
      <c r="C10" s="6" t="s">
        <v>26</v>
      </c>
      <c r="D10" s="7" t="s">
        <v>41</v>
      </c>
      <c r="E10" s="5" t="s">
        <v>42</v>
      </c>
      <c r="F10" s="5" t="n">
        <v>13</v>
      </c>
      <c r="G10" s="5" t="n">
        <v>18</v>
      </c>
      <c r="H10" s="5" t="n">
        <v>16</v>
      </c>
      <c r="I10" s="5" t="s">
        <v>43</v>
      </c>
      <c r="J10" s="6" t="n">
        <v>20.7</v>
      </c>
      <c r="K10" s="5" t="n">
        <f aca="false">IF(H10="","",H10-G10)</f>
        <v>-2</v>
      </c>
      <c r="L10" s="6"/>
    </row>
    <row r="11" customFormat="false" ht="15" hidden="false" customHeight="false" outlineLevel="0" collapsed="false">
      <c r="A11" s="2" t="n">
        <v>10</v>
      </c>
      <c r="B11" s="2" t="n">
        <v>3</v>
      </c>
      <c r="C11" s="3" t="s">
        <v>44</v>
      </c>
      <c r="D11" s="4" t="s">
        <v>45</v>
      </c>
      <c r="E11" s="2" t="s">
        <v>46</v>
      </c>
      <c r="F11" s="2" t="n">
        <v>6</v>
      </c>
      <c r="G11" s="2" t="n">
        <v>21</v>
      </c>
      <c r="H11" s="2" t="n">
        <v>19</v>
      </c>
      <c r="I11" s="2" t="s">
        <v>47</v>
      </c>
      <c r="J11" s="3" t="n">
        <v>16</v>
      </c>
      <c r="K11" s="2" t="n">
        <f aca="false">IF(H11="","",H11-G11)</f>
        <v>-2</v>
      </c>
      <c r="L11" s="3"/>
    </row>
    <row r="12" customFormat="false" ht="15" hidden="false" customHeight="false" outlineLevel="0" collapsed="false">
      <c r="A12" s="5" t="n">
        <v>11</v>
      </c>
      <c r="B12" s="5" t="n">
        <v>3</v>
      </c>
      <c r="C12" s="6" t="s">
        <v>44</v>
      </c>
      <c r="D12" s="7" t="s">
        <v>48</v>
      </c>
      <c r="E12" s="5" t="s">
        <v>49</v>
      </c>
      <c r="F12" s="5" t="n">
        <v>5</v>
      </c>
      <c r="G12" s="5" t="n">
        <v>22</v>
      </c>
      <c r="H12" s="5" t="n">
        <v>18</v>
      </c>
      <c r="I12" s="5" t="s">
        <v>50</v>
      </c>
      <c r="J12" s="6" t="n">
        <v>18.6</v>
      </c>
      <c r="K12" s="5" t="n">
        <f aca="false">IF(H12="","",H12-G12)</f>
        <v>-4</v>
      </c>
      <c r="L12" s="8" t="s">
        <v>51</v>
      </c>
    </row>
    <row r="13" customFormat="false" ht="15" hidden="false" customHeight="false" outlineLevel="0" collapsed="false">
      <c r="A13" s="5" t="n">
        <v>12</v>
      </c>
      <c r="B13" s="5" t="n">
        <v>3</v>
      </c>
      <c r="C13" s="6" t="s">
        <v>44</v>
      </c>
      <c r="D13" s="7" t="s">
        <v>52</v>
      </c>
      <c r="E13" s="5" t="s">
        <v>53</v>
      </c>
      <c r="F13" s="5" t="n">
        <v>13</v>
      </c>
      <c r="G13" s="5" t="n">
        <v>27</v>
      </c>
      <c r="H13" s="5" t="n">
        <v>17</v>
      </c>
      <c r="I13" s="5" t="s">
        <v>54</v>
      </c>
      <c r="J13" s="6" t="n">
        <v>9.8</v>
      </c>
      <c r="K13" s="5" t="n">
        <f aca="false">IF(H13="","",H13-G13)</f>
        <v>-10</v>
      </c>
      <c r="L13" s="8" t="s">
        <v>55</v>
      </c>
    </row>
    <row r="14" customFormat="false" ht="15" hidden="false" customHeight="false" outlineLevel="0" collapsed="false">
      <c r="A14" s="5" t="n">
        <v>13</v>
      </c>
      <c r="B14" s="5" t="n">
        <v>3</v>
      </c>
      <c r="C14" s="6" t="s">
        <v>44</v>
      </c>
      <c r="D14" s="7" t="s">
        <v>56</v>
      </c>
      <c r="E14" s="5" t="s">
        <v>57</v>
      </c>
      <c r="F14" s="5" t="n">
        <v>14</v>
      </c>
      <c r="G14" s="5" t="n">
        <v>28</v>
      </c>
      <c r="H14" s="5" t="n">
        <v>30</v>
      </c>
      <c r="I14" s="5" t="s">
        <v>58</v>
      </c>
      <c r="J14" s="6" t="n">
        <v>36.3</v>
      </c>
      <c r="K14" s="5" t="n">
        <f aca="false">IF(H14="","",H14-G14)</f>
        <v>2</v>
      </c>
      <c r="L14" s="8" t="s">
        <v>59</v>
      </c>
    </row>
    <row r="15" customFormat="false" ht="15" hidden="false" customHeight="false" outlineLevel="0" collapsed="false">
      <c r="A15" s="5" t="n">
        <v>14</v>
      </c>
      <c r="B15" s="5" t="n">
        <v>3</v>
      </c>
      <c r="C15" s="6" t="s">
        <v>44</v>
      </c>
      <c r="D15" s="7" t="s">
        <v>60</v>
      </c>
      <c r="E15" s="5" t="s">
        <v>61</v>
      </c>
      <c r="F15" s="5" t="n">
        <v>11</v>
      </c>
      <c r="G15" s="5" t="n">
        <v>29</v>
      </c>
      <c r="H15" s="5" t="n">
        <v>37</v>
      </c>
      <c r="I15" s="5" t="s">
        <v>62</v>
      </c>
      <c r="J15" s="6" t="n">
        <v>32.4</v>
      </c>
      <c r="K15" s="5" t="n">
        <f aca="false">IF(H15="","",H15-G15)</f>
        <v>8</v>
      </c>
      <c r="L15" s="6"/>
    </row>
    <row r="16" customFormat="false" ht="15" hidden="false" customHeight="false" outlineLevel="0" collapsed="false">
      <c r="A16" s="5" t="n">
        <v>15</v>
      </c>
      <c r="B16" s="5" t="n">
        <v>3</v>
      </c>
      <c r="C16" s="6" t="s">
        <v>44</v>
      </c>
      <c r="D16" s="7" t="s">
        <v>63</v>
      </c>
      <c r="E16" s="5" t="s">
        <v>64</v>
      </c>
      <c r="F16" s="5" t="n">
        <v>14</v>
      </c>
      <c r="G16" s="5" t="n">
        <v>32</v>
      </c>
      <c r="H16" s="5" t="n">
        <v>13</v>
      </c>
      <c r="I16" s="5" t="s">
        <v>65</v>
      </c>
      <c r="J16" s="6" t="n">
        <v>31</v>
      </c>
      <c r="K16" s="5" t="n">
        <f aca="false">IF(H16="","",H16-G16)</f>
        <v>-19</v>
      </c>
      <c r="L16" s="8" t="s">
        <v>66</v>
      </c>
    </row>
    <row r="17" customFormat="false" ht="15" hidden="false" customHeight="false" outlineLevel="0" collapsed="false">
      <c r="A17" s="5" t="n">
        <v>16</v>
      </c>
      <c r="B17" s="5" t="n">
        <v>3</v>
      </c>
      <c r="C17" s="6" t="s">
        <v>44</v>
      </c>
      <c r="D17" s="7" t="s">
        <v>67</v>
      </c>
      <c r="E17" s="5" t="s">
        <v>68</v>
      </c>
      <c r="F17" s="5" t="n">
        <v>13</v>
      </c>
      <c r="G17" s="5" t="n">
        <v>34</v>
      </c>
      <c r="H17" s="5" t="n">
        <v>23</v>
      </c>
      <c r="I17" s="5" t="s">
        <v>69</v>
      </c>
      <c r="J17" s="6" t="n">
        <v>33.1</v>
      </c>
      <c r="K17" s="5" t="n">
        <f aca="false">IF(H17="","",H17-G17)</f>
        <v>-11</v>
      </c>
      <c r="L17" s="8" t="s">
        <v>70</v>
      </c>
    </row>
    <row r="18" customFormat="false" ht="15" hidden="false" customHeight="false" outlineLevel="0" collapsed="false">
      <c r="A18" s="2" t="n">
        <v>17</v>
      </c>
      <c r="B18" s="2" t="n">
        <v>4</v>
      </c>
      <c r="C18" s="3" t="s">
        <v>71</v>
      </c>
      <c r="D18" s="4" t="s">
        <v>72</v>
      </c>
      <c r="E18" s="2" t="s">
        <v>73</v>
      </c>
      <c r="F18" s="2" t="n">
        <v>8</v>
      </c>
      <c r="G18" s="2" t="n">
        <v>39</v>
      </c>
      <c r="H18" s="2" t="n">
        <v>32</v>
      </c>
      <c r="I18" s="2" t="s">
        <v>74</v>
      </c>
      <c r="J18" s="3" t="n">
        <v>42.6</v>
      </c>
      <c r="K18" s="2" t="n">
        <f aca="false">IF(H18="","",H18-G18)</f>
        <v>-7</v>
      </c>
      <c r="L18" s="3"/>
    </row>
    <row r="19" customFormat="false" ht="15" hidden="false" customHeight="false" outlineLevel="0" collapsed="false">
      <c r="A19" s="5" t="n">
        <v>18</v>
      </c>
      <c r="B19" s="5" t="n">
        <v>4</v>
      </c>
      <c r="C19" s="6" t="s">
        <v>71</v>
      </c>
      <c r="D19" s="7" t="s">
        <v>75</v>
      </c>
      <c r="E19" s="5" t="s">
        <v>76</v>
      </c>
      <c r="F19" s="5" t="n">
        <v>11</v>
      </c>
      <c r="G19" s="5" t="n">
        <v>40</v>
      </c>
      <c r="H19" s="5" t="n">
        <v>38</v>
      </c>
      <c r="I19" s="5" t="s">
        <v>77</v>
      </c>
      <c r="J19" s="6" t="n">
        <v>52.6</v>
      </c>
      <c r="K19" s="5" t="n">
        <f aca="false">IF(H19="","",H19-G19)</f>
        <v>-2</v>
      </c>
      <c r="L19" s="8" t="s">
        <v>78</v>
      </c>
    </row>
    <row r="20" customFormat="false" ht="15" hidden="false" customHeight="false" outlineLevel="0" collapsed="false">
      <c r="A20" s="5" t="n">
        <v>19</v>
      </c>
      <c r="B20" s="5" t="n">
        <v>4</v>
      </c>
      <c r="C20" s="6" t="s">
        <v>71</v>
      </c>
      <c r="D20" s="7" t="s">
        <v>79</v>
      </c>
      <c r="E20" s="5" t="s">
        <v>80</v>
      </c>
      <c r="F20" s="5" t="n">
        <v>8</v>
      </c>
      <c r="G20" s="5" t="n">
        <v>42</v>
      </c>
      <c r="H20" s="5" t="n">
        <v>39</v>
      </c>
      <c r="I20" s="5" t="s">
        <v>81</v>
      </c>
      <c r="J20" s="6" t="n">
        <v>46.8</v>
      </c>
      <c r="K20" s="5" t="n">
        <f aca="false">IF(H20="","",H20-G20)</f>
        <v>-3</v>
      </c>
      <c r="L20" s="8" t="s">
        <v>82</v>
      </c>
    </row>
    <row r="21" customFormat="false" ht="15" hidden="false" customHeight="false" outlineLevel="0" collapsed="false">
      <c r="A21" s="5" t="n">
        <v>20</v>
      </c>
      <c r="B21" s="5" t="n">
        <v>4</v>
      </c>
      <c r="C21" s="6" t="s">
        <v>71</v>
      </c>
      <c r="D21" s="7" t="s">
        <v>83</v>
      </c>
      <c r="E21" s="5" t="s">
        <v>84</v>
      </c>
      <c r="F21" s="5" t="n">
        <v>10</v>
      </c>
      <c r="G21" s="5" t="n">
        <v>44</v>
      </c>
      <c r="H21" s="5" t="n">
        <v>40</v>
      </c>
      <c r="I21" s="5" t="s">
        <v>85</v>
      </c>
      <c r="J21" s="6" t="n">
        <v>54.9</v>
      </c>
      <c r="K21" s="5" t="n">
        <f aca="false">IF(H21="","",H21-G21)</f>
        <v>-4</v>
      </c>
      <c r="L21" s="8" t="s">
        <v>78</v>
      </c>
    </row>
    <row r="22" customFormat="false" ht="15" hidden="false" customHeight="false" outlineLevel="0" collapsed="false">
      <c r="A22" s="5" t="n">
        <v>21</v>
      </c>
      <c r="B22" s="5" t="n">
        <v>4</v>
      </c>
      <c r="C22" s="6" t="s">
        <v>71</v>
      </c>
      <c r="D22" s="7" t="s">
        <v>86</v>
      </c>
      <c r="E22" s="5" t="s">
        <v>87</v>
      </c>
      <c r="F22" s="5" t="n">
        <v>10</v>
      </c>
      <c r="G22" s="5" t="n">
        <v>45</v>
      </c>
      <c r="H22" s="5" t="n">
        <v>41</v>
      </c>
      <c r="I22" s="5" t="s">
        <v>88</v>
      </c>
      <c r="J22" s="6" t="n">
        <v>46</v>
      </c>
      <c r="K22" s="5" t="n">
        <f aca="false">IF(H22="","",H22-G22)</f>
        <v>-4</v>
      </c>
      <c r="L22" s="6"/>
    </row>
    <row r="23" customFormat="false" ht="15" hidden="false" customHeight="false" outlineLevel="0" collapsed="false">
      <c r="A23" s="5" t="n">
        <v>22</v>
      </c>
      <c r="B23" s="5" t="n">
        <v>4</v>
      </c>
      <c r="C23" s="6" t="s">
        <v>71</v>
      </c>
      <c r="D23" s="7" t="s">
        <v>89</v>
      </c>
      <c r="E23" s="5" t="s">
        <v>90</v>
      </c>
      <c r="F23" s="5" t="n">
        <v>8</v>
      </c>
      <c r="G23" s="5" t="n">
        <v>52</v>
      </c>
      <c r="H23" s="5" t="n">
        <v>60</v>
      </c>
      <c r="I23" s="5" t="s">
        <v>91</v>
      </c>
      <c r="J23" s="6" t="n">
        <v>47.5</v>
      </c>
      <c r="K23" s="5" t="n">
        <f aca="false">IF(H23="","",H23-G23)</f>
        <v>8</v>
      </c>
      <c r="L23" s="8" t="s">
        <v>92</v>
      </c>
    </row>
    <row r="24" customFormat="false" ht="15" hidden="false" customHeight="false" outlineLevel="0" collapsed="false">
      <c r="A24" s="5" t="n">
        <v>23</v>
      </c>
      <c r="B24" s="5" t="n">
        <v>4</v>
      </c>
      <c r="C24" s="6" t="s">
        <v>71</v>
      </c>
      <c r="D24" s="7" t="s">
        <v>93</v>
      </c>
      <c r="E24" s="5" t="s">
        <v>94</v>
      </c>
      <c r="F24" s="5" t="n">
        <v>7</v>
      </c>
      <c r="G24" s="5" t="n">
        <v>54</v>
      </c>
      <c r="H24" s="5" t="n">
        <v>59</v>
      </c>
      <c r="I24" s="5" t="s">
        <v>95</v>
      </c>
      <c r="J24" s="6" t="n">
        <v>57.9</v>
      </c>
      <c r="K24" s="5" t="n">
        <f aca="false">IF(H24="","",H24-G24)</f>
        <v>5</v>
      </c>
      <c r="L24" s="8" t="s">
        <v>96</v>
      </c>
    </row>
    <row r="25" customFormat="false" ht="15" hidden="false" customHeight="false" outlineLevel="0" collapsed="false">
      <c r="A25" s="5" t="n">
        <v>24</v>
      </c>
      <c r="B25" s="5" t="n">
        <v>4</v>
      </c>
      <c r="C25" s="6" t="s">
        <v>71</v>
      </c>
      <c r="D25" s="7" t="s">
        <v>97</v>
      </c>
      <c r="E25" s="5" t="s">
        <v>98</v>
      </c>
      <c r="F25" s="5" t="n">
        <v>9</v>
      </c>
      <c r="G25" s="5" t="n">
        <v>56</v>
      </c>
      <c r="H25" s="5" t="n">
        <v>64</v>
      </c>
      <c r="I25" s="5" t="s">
        <v>99</v>
      </c>
      <c r="J25" s="6" t="n">
        <v>69.4</v>
      </c>
      <c r="K25" s="5" t="n">
        <f aca="false">IF(H25="","",H25-G25)</f>
        <v>8</v>
      </c>
      <c r="L25" s="8" t="s">
        <v>100</v>
      </c>
    </row>
    <row r="26" customFormat="false" ht="15" hidden="false" customHeight="false" outlineLevel="0" collapsed="false">
      <c r="A26" s="2" t="n">
        <v>25</v>
      </c>
      <c r="B26" s="2" t="n">
        <v>5</v>
      </c>
      <c r="C26" s="3" t="s">
        <v>101</v>
      </c>
      <c r="D26" s="4" t="s">
        <v>102</v>
      </c>
      <c r="E26" s="2" t="s">
        <v>103</v>
      </c>
      <c r="F26" s="2" t="n">
        <v>11</v>
      </c>
      <c r="G26" s="2" t="n">
        <v>58</v>
      </c>
      <c r="H26" s="2" t="n">
        <v>61</v>
      </c>
      <c r="I26" s="2" t="s">
        <v>104</v>
      </c>
      <c r="J26" s="3" t="n">
        <v>65</v>
      </c>
      <c r="K26" s="2" t="n">
        <f aca="false">IF(H26="","",H26-G26)</f>
        <v>3</v>
      </c>
      <c r="L26" s="8" t="s">
        <v>105</v>
      </c>
    </row>
    <row r="27" customFormat="false" ht="15" hidden="false" customHeight="false" outlineLevel="0" collapsed="false">
      <c r="A27" s="5" t="n">
        <v>26</v>
      </c>
      <c r="B27" s="5" t="n">
        <v>5</v>
      </c>
      <c r="C27" s="6" t="s">
        <v>101</v>
      </c>
      <c r="D27" s="7" t="s">
        <v>106</v>
      </c>
      <c r="E27" s="5" t="s">
        <v>107</v>
      </c>
      <c r="F27" s="5" t="n">
        <v>11</v>
      </c>
      <c r="G27" s="5" t="n">
        <v>59</v>
      </c>
      <c r="H27" s="5" t="n">
        <v>63</v>
      </c>
      <c r="I27" s="5" t="s">
        <v>108</v>
      </c>
      <c r="J27" s="6" t="n">
        <v>73.8</v>
      </c>
      <c r="K27" s="5" t="n">
        <f aca="false">IF(H27="","",H27-G27)</f>
        <v>4</v>
      </c>
      <c r="L27" s="6"/>
    </row>
    <row r="28" customFormat="false" ht="15" hidden="false" customHeight="false" outlineLevel="0" collapsed="false">
      <c r="A28" s="5" t="n">
        <v>27</v>
      </c>
      <c r="B28" s="5" t="n">
        <v>5</v>
      </c>
      <c r="C28" s="6" t="s">
        <v>101</v>
      </c>
      <c r="D28" s="7" t="s">
        <v>109</v>
      </c>
      <c r="E28" s="5" t="s">
        <v>110</v>
      </c>
      <c r="F28" s="5" t="n">
        <v>9</v>
      </c>
      <c r="G28" s="5" t="n">
        <v>68</v>
      </c>
      <c r="H28" s="5" t="n">
        <v>98</v>
      </c>
      <c r="I28" s="5" t="s">
        <v>111</v>
      </c>
      <c r="J28" s="6" t="n">
        <v>81.2</v>
      </c>
      <c r="K28" s="5" t="n">
        <f aca="false">IF(H28="","",H28-G28)</f>
        <v>30</v>
      </c>
      <c r="L28" s="8" t="s">
        <v>112</v>
      </c>
    </row>
    <row r="29" customFormat="false" ht="15" hidden="false" customHeight="false" outlineLevel="0" collapsed="false">
      <c r="A29" s="5" t="n">
        <v>28</v>
      </c>
      <c r="B29" s="5" t="n">
        <v>5</v>
      </c>
      <c r="C29" s="6" t="s">
        <v>101</v>
      </c>
      <c r="D29" s="7" t="s">
        <v>113</v>
      </c>
      <c r="E29" s="5" t="s">
        <v>98</v>
      </c>
      <c r="F29" s="5" t="n">
        <v>9</v>
      </c>
      <c r="G29" s="5" t="n">
        <v>69</v>
      </c>
      <c r="H29" s="5" t="n">
        <v>95</v>
      </c>
      <c r="I29" s="5" t="s">
        <v>114</v>
      </c>
      <c r="J29" s="6" t="n">
        <v>93.4</v>
      </c>
      <c r="K29" s="5" t="n">
        <f aca="false">IF(H29="","",H29-G29)</f>
        <v>26</v>
      </c>
      <c r="L29" s="6"/>
    </row>
    <row r="30" customFormat="false" ht="15" hidden="false" customHeight="false" outlineLevel="0" collapsed="false">
      <c r="A30" s="5" t="n">
        <v>29</v>
      </c>
      <c r="B30" s="5" t="n">
        <v>5</v>
      </c>
      <c r="C30" s="6" t="s">
        <v>101</v>
      </c>
      <c r="D30" s="7" t="s">
        <v>115</v>
      </c>
      <c r="E30" s="5" t="s">
        <v>116</v>
      </c>
      <c r="F30" s="5" t="n">
        <v>11</v>
      </c>
      <c r="G30" s="5" t="n">
        <v>72</v>
      </c>
      <c r="H30" s="5" t="n">
        <v>100</v>
      </c>
      <c r="I30" s="5" t="s">
        <v>117</v>
      </c>
      <c r="J30" s="6"/>
      <c r="K30" s="5" t="n">
        <f aca="false">IF(H30="","",H30-G30)</f>
        <v>28</v>
      </c>
      <c r="L30" s="8" t="s">
        <v>118</v>
      </c>
    </row>
    <row r="31" customFormat="false" ht="15" hidden="false" customHeight="false" outlineLevel="0" collapsed="false">
      <c r="A31" s="5" t="n">
        <v>30</v>
      </c>
      <c r="B31" s="5" t="n">
        <v>5</v>
      </c>
      <c r="C31" s="6" t="s">
        <v>101</v>
      </c>
      <c r="D31" s="7" t="s">
        <v>119</v>
      </c>
      <c r="E31" s="5" t="s">
        <v>120</v>
      </c>
      <c r="F31" s="5" t="n">
        <v>5</v>
      </c>
      <c r="G31" s="5" t="n">
        <v>75</v>
      </c>
      <c r="H31" s="5" t="n">
        <v>96</v>
      </c>
      <c r="I31" s="5" t="s">
        <v>121</v>
      </c>
      <c r="J31" s="6" t="n">
        <v>78</v>
      </c>
      <c r="K31" s="5" t="n">
        <f aca="false">IF(H31="","",H31-G31)</f>
        <v>21</v>
      </c>
      <c r="L31" s="8" t="s">
        <v>122</v>
      </c>
    </row>
    <row r="32" customFormat="false" ht="15" hidden="false" customHeight="false" outlineLevel="0" collapsed="false">
      <c r="A32" s="5" t="n">
        <v>31</v>
      </c>
      <c r="B32" s="5" t="n">
        <v>5</v>
      </c>
      <c r="C32" s="6" t="s">
        <v>101</v>
      </c>
      <c r="D32" s="7" t="s">
        <v>123</v>
      </c>
      <c r="E32" s="5" t="s">
        <v>107</v>
      </c>
      <c r="F32" s="5" t="n">
        <v>11</v>
      </c>
      <c r="G32" s="5" t="n">
        <v>76</v>
      </c>
      <c r="H32" s="5" t="n">
        <v>97</v>
      </c>
      <c r="I32" s="5" t="s">
        <v>124</v>
      </c>
      <c r="J32" s="6" t="n">
        <v>57.4</v>
      </c>
      <c r="K32" s="5" t="n">
        <f aca="false">IF(H32="","",H32-G32)</f>
        <v>21</v>
      </c>
      <c r="L32" s="6"/>
    </row>
    <row r="33" customFormat="false" ht="15" hidden="false" customHeight="false" outlineLevel="0" collapsed="false">
      <c r="A33" s="5" t="n">
        <v>32</v>
      </c>
      <c r="B33" s="5" t="n">
        <v>5</v>
      </c>
      <c r="C33" s="6" t="s">
        <v>101</v>
      </c>
      <c r="D33" s="7" t="s">
        <v>125</v>
      </c>
      <c r="E33" s="5" t="s">
        <v>84</v>
      </c>
      <c r="F33" s="5" t="n">
        <v>10</v>
      </c>
      <c r="G33" s="5" t="n">
        <v>79</v>
      </c>
      <c r="H33" s="5" t="n">
        <v>99</v>
      </c>
      <c r="I33" s="5" t="s">
        <v>126</v>
      </c>
      <c r="J33" s="6" t="n">
        <v>98.6</v>
      </c>
      <c r="K33" s="5" t="n">
        <f aca="false">IF(H33="","",H33-G33)</f>
        <v>20</v>
      </c>
      <c r="L33" s="8" t="s">
        <v>127</v>
      </c>
    </row>
    <row r="34" customFormat="false" ht="15" hidden="false" customHeight="false" outlineLevel="0" collapsed="false">
      <c r="A34" s="5" t="n">
        <v>33</v>
      </c>
      <c r="B34" s="5" t="n">
        <v>5</v>
      </c>
      <c r="C34" s="6" t="s">
        <v>101</v>
      </c>
      <c r="D34" s="7" t="s">
        <v>128</v>
      </c>
      <c r="E34" s="5" t="s">
        <v>120</v>
      </c>
      <c r="F34" s="5" t="n">
        <v>5</v>
      </c>
      <c r="G34" s="5" t="n">
        <v>80</v>
      </c>
      <c r="H34" s="5" t="n">
        <v>105</v>
      </c>
      <c r="I34" s="5" t="s">
        <v>129</v>
      </c>
      <c r="J34" s="6" t="n">
        <v>94</v>
      </c>
      <c r="K34" s="5" t="n">
        <f aca="false">IF(H34="","",H34-G34)</f>
        <v>25</v>
      </c>
      <c r="L34" s="8" t="s">
        <v>130</v>
      </c>
    </row>
    <row r="35" customFormat="false" ht="15" hidden="false" customHeight="false" outlineLevel="0" collapsed="false">
      <c r="A35" s="5" t="n">
        <v>34</v>
      </c>
      <c r="B35" s="5" t="n">
        <v>5</v>
      </c>
      <c r="C35" s="6" t="s">
        <v>101</v>
      </c>
      <c r="D35" s="7" t="s">
        <v>131</v>
      </c>
      <c r="E35" s="5" t="s">
        <v>132</v>
      </c>
      <c r="F35" s="5" t="n">
        <v>10</v>
      </c>
      <c r="G35" s="5" t="n">
        <v>81</v>
      </c>
      <c r="H35" s="5" t="n">
        <v>106</v>
      </c>
      <c r="I35" s="5" t="s">
        <v>133</v>
      </c>
      <c r="J35" s="6" t="n">
        <v>98.2</v>
      </c>
      <c r="K35" s="5" t="n">
        <f aca="false">IF(H35="","",H35-G35)</f>
        <v>25</v>
      </c>
      <c r="L35" s="6"/>
    </row>
    <row r="36" customFormat="false" ht="15" hidden="false" customHeight="false" outlineLevel="0" collapsed="false">
      <c r="A36" s="2" t="n">
        <v>35</v>
      </c>
      <c r="B36" s="2" t="n">
        <v>6</v>
      </c>
      <c r="C36" s="3" t="s">
        <v>134</v>
      </c>
      <c r="D36" s="4" t="s">
        <v>135</v>
      </c>
      <c r="E36" s="2" t="s">
        <v>87</v>
      </c>
      <c r="F36" s="2" t="n">
        <v>10</v>
      </c>
      <c r="G36" s="2" t="n">
        <v>84</v>
      </c>
      <c r="H36" s="2" t="n">
        <v>107</v>
      </c>
      <c r="I36" s="2" t="s">
        <v>136</v>
      </c>
      <c r="J36" s="3" t="n">
        <v>103.7</v>
      </c>
      <c r="K36" s="2" t="n">
        <f aca="false">IF(H36="","",H36-G36)</f>
        <v>23</v>
      </c>
      <c r="L36" s="3"/>
    </row>
    <row r="37" customFormat="false" ht="15" hidden="false" customHeight="false" outlineLevel="0" collapsed="false">
      <c r="A37" s="5" t="n">
        <v>36</v>
      </c>
      <c r="B37" s="5" t="n">
        <v>6</v>
      </c>
      <c r="C37" s="6" t="s">
        <v>134</v>
      </c>
      <c r="D37" s="7" t="s">
        <v>137</v>
      </c>
      <c r="E37" s="5" t="s">
        <v>138</v>
      </c>
      <c r="F37" s="5" t="n">
        <v>7</v>
      </c>
      <c r="G37" s="5" t="n">
        <v>85</v>
      </c>
      <c r="H37" s="5" t="n">
        <v>108</v>
      </c>
      <c r="I37" s="5" t="s">
        <v>139</v>
      </c>
      <c r="J37" s="6" t="n">
        <v>113.9</v>
      </c>
      <c r="K37" s="5" t="n">
        <f aca="false">IF(H37="","",H37-G37)</f>
        <v>23</v>
      </c>
      <c r="L37" s="6"/>
    </row>
    <row r="38" customFormat="false" ht="15" hidden="false" customHeight="false" outlineLevel="0" collapsed="false">
      <c r="A38" s="5" t="n">
        <v>37</v>
      </c>
      <c r="B38" s="5" t="n">
        <v>6</v>
      </c>
      <c r="C38" s="6" t="s">
        <v>134</v>
      </c>
      <c r="D38" s="7" t="s">
        <v>140</v>
      </c>
      <c r="E38" s="5" t="s">
        <v>141</v>
      </c>
      <c r="F38" s="5" t="n">
        <v>6</v>
      </c>
      <c r="G38" s="5" t="n">
        <v>91</v>
      </c>
      <c r="H38" s="5" t="n">
        <v>115</v>
      </c>
      <c r="I38" s="5" t="s">
        <v>142</v>
      </c>
      <c r="J38" s="6" t="n">
        <v>128.7</v>
      </c>
      <c r="K38" s="5" t="n">
        <f aca="false">IF(H38="","",H38-G38)</f>
        <v>24</v>
      </c>
      <c r="L38" s="6"/>
    </row>
    <row r="39" customFormat="false" ht="15" hidden="false" customHeight="false" outlineLevel="0" collapsed="false">
      <c r="A39" s="5" t="n">
        <v>38</v>
      </c>
      <c r="B39" s="5" t="n">
        <v>6</v>
      </c>
      <c r="C39" s="6" t="s">
        <v>134</v>
      </c>
      <c r="D39" s="7" t="s">
        <v>143</v>
      </c>
      <c r="E39" s="5" t="s">
        <v>141</v>
      </c>
      <c r="F39" s="5" t="n">
        <v>6</v>
      </c>
      <c r="G39" s="5" t="n">
        <v>92</v>
      </c>
      <c r="H39" s="5" t="n">
        <v>121</v>
      </c>
      <c r="I39" s="5" t="s">
        <v>144</v>
      </c>
      <c r="J39" s="6" t="n">
        <v>102.6</v>
      </c>
      <c r="K39" s="5" t="n">
        <f aca="false">IF(H39="","",H39-G39)</f>
        <v>29</v>
      </c>
      <c r="L39" s="8" t="s">
        <v>145</v>
      </c>
    </row>
    <row r="40" customFormat="false" ht="15" hidden="false" customHeight="false" outlineLevel="0" collapsed="false">
      <c r="A40" s="5" t="n">
        <v>39</v>
      </c>
      <c r="B40" s="5" t="n">
        <v>6</v>
      </c>
      <c r="C40" s="6" t="s">
        <v>134</v>
      </c>
      <c r="D40" s="7" t="s">
        <v>146</v>
      </c>
      <c r="E40" s="5" t="s">
        <v>61</v>
      </c>
      <c r="F40" s="5" t="n">
        <v>11</v>
      </c>
      <c r="G40" s="5" t="n">
        <v>98</v>
      </c>
      <c r="H40" s="5" t="n">
        <v>122</v>
      </c>
      <c r="I40" s="5" t="s">
        <v>147</v>
      </c>
      <c r="J40" s="6" t="n">
        <v>95.1</v>
      </c>
      <c r="K40" s="5" t="n">
        <f aca="false">IF(H40="","",H40-G40)</f>
        <v>24</v>
      </c>
      <c r="L40" s="8" t="s">
        <v>148</v>
      </c>
    </row>
    <row r="41" customFormat="false" ht="15" hidden="false" customHeight="false" outlineLevel="0" collapsed="false">
      <c r="A41" s="5" t="n">
        <v>40</v>
      </c>
      <c r="B41" s="5" t="n">
        <v>6</v>
      </c>
      <c r="C41" s="6" t="s">
        <v>134</v>
      </c>
      <c r="D41" s="7" t="s">
        <v>149</v>
      </c>
      <c r="E41" s="5" t="s">
        <v>132</v>
      </c>
      <c r="F41" s="5" t="n">
        <v>10</v>
      </c>
      <c r="G41" s="5" t="n">
        <v>99</v>
      </c>
      <c r="H41" s="5" t="n">
        <v>123</v>
      </c>
      <c r="I41" s="5" t="s">
        <v>150</v>
      </c>
      <c r="J41" s="6" t="n">
        <v>88.8</v>
      </c>
      <c r="K41" s="5" t="n">
        <f aca="false">IF(H41="","",H41-G41)</f>
        <v>24</v>
      </c>
      <c r="L41" s="8" t="s">
        <v>151</v>
      </c>
    </row>
    <row r="42" customFormat="false" ht="15" hidden="false" customHeight="false" outlineLevel="0" collapsed="false">
      <c r="A42" s="5" t="n">
        <v>41</v>
      </c>
      <c r="B42" s="5" t="n">
        <v>6</v>
      </c>
      <c r="C42" s="6" t="s">
        <v>134</v>
      </c>
      <c r="D42" s="7" t="s">
        <v>152</v>
      </c>
      <c r="E42" s="5" t="s">
        <v>116</v>
      </c>
      <c r="F42" s="5" t="n">
        <v>11</v>
      </c>
      <c r="G42" s="5" t="n">
        <v>113</v>
      </c>
      <c r="H42" s="5" t="n">
        <v>62</v>
      </c>
      <c r="I42" s="5" t="s">
        <v>153</v>
      </c>
      <c r="J42" s="6" t="n">
        <v>41.5</v>
      </c>
      <c r="K42" s="5" t="n">
        <f aca="false">IF(H42="","",H42-G42)</f>
        <v>-51</v>
      </c>
      <c r="L42" s="8" t="s">
        <v>154</v>
      </c>
    </row>
    <row r="43" customFormat="false" ht="15" hidden="false" customHeight="false" outlineLevel="0" collapsed="false">
      <c r="A43" s="5" t="n">
        <v>42</v>
      </c>
      <c r="B43" s="5" t="n">
        <v>6</v>
      </c>
      <c r="C43" s="6" t="s">
        <v>134</v>
      </c>
      <c r="D43" s="7" t="s">
        <v>155</v>
      </c>
      <c r="E43" s="5" t="s">
        <v>90</v>
      </c>
      <c r="F43" s="5" t="n">
        <v>8</v>
      </c>
      <c r="G43" s="5" t="n">
        <v>114</v>
      </c>
      <c r="H43" s="5" t="n">
        <v>137</v>
      </c>
      <c r="I43" s="5" t="s">
        <v>156</v>
      </c>
      <c r="J43" s="6"/>
      <c r="K43" s="5" t="n">
        <f aca="false">IF(H43="","",H43-G43)</f>
        <v>23</v>
      </c>
      <c r="L43" s="8" t="s">
        <v>157</v>
      </c>
    </row>
    <row r="44" customFormat="false" ht="15" hidden="false" customHeight="false" outlineLevel="0" collapsed="false">
      <c r="A44" s="5" t="n">
        <v>43</v>
      </c>
      <c r="B44" s="5" t="n">
        <v>6</v>
      </c>
      <c r="C44" s="6" t="s">
        <v>134</v>
      </c>
      <c r="D44" s="7" t="s">
        <v>158</v>
      </c>
      <c r="E44" s="5" t="s">
        <v>64</v>
      </c>
      <c r="F44" s="5" t="n">
        <v>14</v>
      </c>
      <c r="G44" s="5" t="n">
        <v>115</v>
      </c>
      <c r="H44" s="5" t="n">
        <v>142</v>
      </c>
      <c r="I44" s="5" t="s">
        <v>159</v>
      </c>
      <c r="J44" s="6"/>
      <c r="K44" s="5" t="n">
        <f aca="false">IF(H44="","",H44-G44)</f>
        <v>27</v>
      </c>
      <c r="L44" s="8" t="s">
        <v>160</v>
      </c>
    </row>
    <row r="45" customFormat="false" ht="15" hidden="false" customHeight="false" outlineLevel="0" collapsed="false">
      <c r="A45" s="5" t="n">
        <v>44</v>
      </c>
      <c r="B45" s="5" t="n">
        <v>6</v>
      </c>
      <c r="C45" s="6" t="s">
        <v>134</v>
      </c>
      <c r="D45" s="7" t="s">
        <v>161</v>
      </c>
      <c r="E45" s="5" t="s">
        <v>138</v>
      </c>
      <c r="F45" s="5" t="n">
        <v>7</v>
      </c>
      <c r="G45" s="5" t="n">
        <v>132</v>
      </c>
      <c r="H45" s="5" t="n">
        <v>120</v>
      </c>
      <c r="I45" s="5" t="s">
        <v>162</v>
      </c>
      <c r="J45" s="6" t="n">
        <v>108.8</v>
      </c>
      <c r="K45" s="5" t="n">
        <f aca="false">IF(H45="","",H45-G45)</f>
        <v>-12</v>
      </c>
      <c r="L45" s="6"/>
    </row>
    <row r="46" customFormat="false" ht="15" hidden="false" customHeight="false" outlineLevel="0" collapsed="false">
      <c r="A46" s="2" t="n">
        <v>45</v>
      </c>
      <c r="B46" s="2" t="n">
        <v>7</v>
      </c>
      <c r="C46" s="3" t="s">
        <v>163</v>
      </c>
      <c r="D46" s="4" t="s">
        <v>164</v>
      </c>
      <c r="E46" s="2" t="s">
        <v>53</v>
      </c>
      <c r="F46" s="2" t="n">
        <v>13</v>
      </c>
      <c r="G46" s="2" t="n">
        <v>133</v>
      </c>
      <c r="H46" s="2" t="n">
        <v>157</v>
      </c>
      <c r="I46" s="2" t="s">
        <v>165</v>
      </c>
      <c r="J46" s="3"/>
      <c r="K46" s="2" t="n">
        <f aca="false">IF(H46="","",H46-G46)</f>
        <v>24</v>
      </c>
      <c r="L46" s="8" t="s">
        <v>166</v>
      </c>
    </row>
    <row r="47" customFormat="false" ht="15" hidden="false" customHeight="false" outlineLevel="0" collapsed="false">
      <c r="A47" s="5" t="n">
        <v>46</v>
      </c>
      <c r="B47" s="5" t="n">
        <v>7</v>
      </c>
      <c r="C47" s="6" t="s">
        <v>163</v>
      </c>
      <c r="D47" s="7" t="s">
        <v>167</v>
      </c>
      <c r="E47" s="5" t="s">
        <v>103</v>
      </c>
      <c r="F47" s="5" t="n">
        <v>11</v>
      </c>
      <c r="G47" s="5" t="n">
        <v>134</v>
      </c>
      <c r="H47" s="5" t="n">
        <v>138</v>
      </c>
      <c r="I47" s="5" t="s">
        <v>168</v>
      </c>
      <c r="J47" s="6"/>
      <c r="K47" s="5" t="n">
        <f aca="false">IF(H47="","",H47-G47)</f>
        <v>4</v>
      </c>
      <c r="L47" s="8" t="s">
        <v>169</v>
      </c>
    </row>
    <row r="48" customFormat="false" ht="15" hidden="false" customHeight="false" outlineLevel="0" collapsed="false">
      <c r="A48" s="5" t="n">
        <v>47</v>
      </c>
      <c r="B48" s="5" t="n">
        <v>7</v>
      </c>
      <c r="C48" s="6" t="s">
        <v>163</v>
      </c>
      <c r="D48" s="7" t="s">
        <v>170</v>
      </c>
      <c r="E48" s="5" t="s">
        <v>110</v>
      </c>
      <c r="F48" s="5" t="n">
        <v>9</v>
      </c>
      <c r="G48" s="5" t="n">
        <v>135</v>
      </c>
      <c r="H48" s="5" t="n">
        <v>139</v>
      </c>
      <c r="I48" s="5" t="s">
        <v>171</v>
      </c>
      <c r="J48" s="6"/>
      <c r="K48" s="5" t="n">
        <f aca="false">IF(H48="","",H48-G48)</f>
        <v>4</v>
      </c>
      <c r="L48" s="8" t="s">
        <v>172</v>
      </c>
    </row>
    <row r="49" customFormat="false" ht="15" hidden="false" customHeight="false" outlineLevel="0" collapsed="false">
      <c r="A49" s="5" t="n">
        <v>48</v>
      </c>
      <c r="B49" s="5" t="n">
        <v>7</v>
      </c>
      <c r="C49" s="6" t="s">
        <v>163</v>
      </c>
      <c r="D49" s="7" t="s">
        <v>173</v>
      </c>
      <c r="E49" s="5" t="s">
        <v>68</v>
      </c>
      <c r="F49" s="5" t="n">
        <v>13</v>
      </c>
      <c r="G49" s="5" t="n">
        <v>136</v>
      </c>
      <c r="H49" s="5" t="n">
        <v>158</v>
      </c>
      <c r="I49" s="5" t="s">
        <v>174</v>
      </c>
      <c r="J49" s="6"/>
      <c r="K49" s="5" t="n">
        <f aca="false">IF(H49="","",H49-G49)</f>
        <v>22</v>
      </c>
      <c r="L49" s="8" t="s">
        <v>175</v>
      </c>
    </row>
    <row r="50" customFormat="false" ht="15" hidden="false" customHeight="false" outlineLevel="0" collapsed="false">
      <c r="A50" s="5" t="n">
        <v>49</v>
      </c>
      <c r="B50" s="5" t="n">
        <v>7</v>
      </c>
      <c r="C50" s="6" t="s">
        <v>163</v>
      </c>
      <c r="D50" s="7" t="s">
        <v>176</v>
      </c>
      <c r="E50" s="5" t="s">
        <v>17</v>
      </c>
      <c r="F50" s="5" t="n">
        <v>11</v>
      </c>
      <c r="G50" s="5" t="n">
        <v>137</v>
      </c>
      <c r="H50" s="5" t="n">
        <v>141</v>
      </c>
      <c r="I50" s="5" t="s">
        <v>177</v>
      </c>
      <c r="J50" s="6"/>
      <c r="K50" s="5" t="n">
        <f aca="false">IF(H50="","",H50-G50)</f>
        <v>4</v>
      </c>
      <c r="L50" s="6"/>
    </row>
    <row r="51" customFormat="false" ht="15" hidden="false" customHeight="false" outlineLevel="0" collapsed="false">
      <c r="A51" s="5" t="n">
        <v>50</v>
      </c>
      <c r="B51" s="5" t="n">
        <v>7</v>
      </c>
      <c r="C51" s="6" t="s">
        <v>163</v>
      </c>
      <c r="D51" s="7" t="s">
        <v>178</v>
      </c>
      <c r="E51" s="5" t="s">
        <v>14</v>
      </c>
      <c r="F51" s="5" t="n">
        <v>6</v>
      </c>
      <c r="G51" s="5" t="n">
        <v>138</v>
      </c>
      <c r="H51" s="5" t="n">
        <v>155</v>
      </c>
      <c r="I51" s="5" t="s">
        <v>179</v>
      </c>
      <c r="J51" s="6"/>
      <c r="K51" s="5" t="n">
        <f aca="false">IF(H51="","",H51-G51)</f>
        <v>17</v>
      </c>
      <c r="L51" s="6"/>
    </row>
    <row r="52" customFormat="false" ht="15" hidden="false" customHeight="false" outlineLevel="0" collapsed="false">
      <c r="A52" s="5" t="n">
        <v>51</v>
      </c>
      <c r="B52" s="5" t="n">
        <v>7</v>
      </c>
      <c r="C52" s="6" t="s">
        <v>163</v>
      </c>
      <c r="D52" s="7" t="s">
        <v>180</v>
      </c>
      <c r="E52" s="5" t="s">
        <v>64</v>
      </c>
      <c r="F52" s="5" t="n">
        <v>14</v>
      </c>
      <c r="G52" s="5" t="n">
        <v>150</v>
      </c>
      <c r="H52" s="5"/>
      <c r="I52" s="5"/>
      <c r="J52" s="6"/>
      <c r="K52" s="5" t="str">
        <f aca="false">IF(H52="","",H52-G52)</f>
        <v/>
      </c>
      <c r="L52" s="8" t="s">
        <v>181</v>
      </c>
    </row>
    <row r="53" customFormat="false" ht="15" hidden="false" customHeight="false" outlineLevel="0" collapsed="false">
      <c r="A53" s="5" t="n">
        <v>52</v>
      </c>
      <c r="B53" s="5" t="n">
        <v>7</v>
      </c>
      <c r="C53" s="6" t="s">
        <v>163</v>
      </c>
      <c r="D53" s="7" t="s">
        <v>182</v>
      </c>
      <c r="E53" s="5" t="s">
        <v>49</v>
      </c>
      <c r="F53" s="5" t="n">
        <v>5</v>
      </c>
      <c r="G53" s="5" t="n">
        <v>151</v>
      </c>
      <c r="H53" s="5" t="n">
        <v>240</v>
      </c>
      <c r="I53" s="5" t="s">
        <v>183</v>
      </c>
      <c r="J53" s="6"/>
      <c r="K53" s="5" t="n">
        <f aca="false">IF(H53="","",H53-G53)</f>
        <v>89</v>
      </c>
      <c r="L53" s="8" t="s">
        <v>184</v>
      </c>
    </row>
    <row r="54" customFormat="false" ht="15" hidden="false" customHeight="false" outlineLevel="0" collapsed="false">
      <c r="A54" s="5" t="n">
        <v>53</v>
      </c>
      <c r="B54" s="5" t="n">
        <v>7</v>
      </c>
      <c r="C54" s="6" t="s">
        <v>163</v>
      </c>
      <c r="D54" s="7" t="s">
        <v>185</v>
      </c>
      <c r="E54" s="5" t="s">
        <v>94</v>
      </c>
      <c r="F54" s="5" t="n">
        <v>7</v>
      </c>
      <c r="G54" s="5" t="n">
        <v>153</v>
      </c>
      <c r="H54" s="5" t="n">
        <v>140</v>
      </c>
      <c r="I54" s="5" t="s">
        <v>186</v>
      </c>
      <c r="J54" s="6"/>
      <c r="K54" s="5" t="n">
        <f aca="false">IF(H54="","",H54-G54)</f>
        <v>-13</v>
      </c>
      <c r="L54" s="6"/>
    </row>
    <row r="55" customFormat="false" ht="15" hidden="false" customHeight="false" outlineLevel="0" collapsed="false">
      <c r="A55" s="5" t="n">
        <v>54</v>
      </c>
      <c r="B55" s="5" t="n">
        <v>7</v>
      </c>
      <c r="C55" s="6" t="s">
        <v>163</v>
      </c>
      <c r="D55" s="7" t="s">
        <v>187</v>
      </c>
      <c r="E55" s="5" t="s">
        <v>132</v>
      </c>
      <c r="F55" s="5" t="n">
        <v>10</v>
      </c>
      <c r="G55" s="5" t="n">
        <v>154</v>
      </c>
      <c r="H55" s="5" t="n">
        <v>156</v>
      </c>
      <c r="I55" s="5" t="s">
        <v>188</v>
      </c>
      <c r="J55" s="6"/>
      <c r="K55" s="5" t="n">
        <f aca="false">IF(H55="","",H55-G55)</f>
        <v>2</v>
      </c>
      <c r="L55" s="6"/>
    </row>
    <row r="56" customFormat="false" ht="15" hidden="false" customHeight="false" outlineLevel="0" collapsed="false">
      <c r="A56" s="5" t="n">
        <v>55</v>
      </c>
      <c r="B56" s="5" t="n">
        <v>7</v>
      </c>
      <c r="C56" s="6" t="s">
        <v>163</v>
      </c>
      <c r="D56" s="7" t="s">
        <v>189</v>
      </c>
      <c r="E56" s="5" t="s">
        <v>38</v>
      </c>
      <c r="F56" s="5" t="n">
        <v>7</v>
      </c>
      <c r="G56" s="5" t="n">
        <v>155</v>
      </c>
      <c r="H56" s="5" t="n">
        <v>154</v>
      </c>
      <c r="I56" s="5" t="s">
        <v>190</v>
      </c>
      <c r="J56" s="6"/>
      <c r="K56" s="5" t="n">
        <f aca="false">IF(H56="","",H56-G56)</f>
        <v>-1</v>
      </c>
      <c r="L56" s="6"/>
    </row>
    <row r="57" customFormat="false" ht="15" hidden="false" customHeight="false" outlineLevel="0" collapsed="false">
      <c r="A57" s="5" t="n">
        <v>56</v>
      </c>
      <c r="B57" s="5" t="n">
        <v>7</v>
      </c>
      <c r="C57" s="6" t="s">
        <v>163</v>
      </c>
      <c r="D57" s="7" t="s">
        <v>191</v>
      </c>
      <c r="E57" s="5" t="s">
        <v>116</v>
      </c>
      <c r="F57" s="5" t="n">
        <v>11</v>
      </c>
      <c r="G57" s="5" t="n">
        <v>156</v>
      </c>
      <c r="H57" s="5" t="n">
        <v>280</v>
      </c>
      <c r="I57" s="5" t="s">
        <v>192</v>
      </c>
      <c r="J57" s="6"/>
      <c r="K57" s="5" t="n">
        <f aca="false">IF(H57="","",H57-G57)</f>
        <v>124</v>
      </c>
      <c r="L57" s="8" t="s">
        <v>193</v>
      </c>
    </row>
    <row r="58" customFormat="false" ht="15" hidden="false" customHeight="false" outlineLevel="0" collapsed="false">
      <c r="A58" s="5" t="n">
        <v>57</v>
      </c>
      <c r="B58" s="5" t="n">
        <v>7</v>
      </c>
      <c r="C58" s="6" t="s">
        <v>163</v>
      </c>
      <c r="D58" s="7" t="s">
        <v>194</v>
      </c>
      <c r="E58" s="5" t="s">
        <v>35</v>
      </c>
      <c r="F58" s="5" t="n">
        <v>10</v>
      </c>
      <c r="G58" s="5" t="n">
        <v>157</v>
      </c>
      <c r="H58" s="5" t="n">
        <v>166</v>
      </c>
      <c r="I58" s="5" t="s">
        <v>195</v>
      </c>
      <c r="J58" s="6"/>
      <c r="K58" s="5" t="n">
        <f aca="false">IF(H58="","",H58-G58)</f>
        <v>9</v>
      </c>
      <c r="L58" s="6"/>
    </row>
    <row r="59" customFormat="false" ht="15" hidden="false" customHeight="false" outlineLevel="0" collapsed="false">
      <c r="A59" s="5" t="n">
        <v>58</v>
      </c>
      <c r="B59" s="5" t="n">
        <v>7</v>
      </c>
      <c r="C59" s="6" t="s">
        <v>163</v>
      </c>
      <c r="D59" s="7" t="s">
        <v>196</v>
      </c>
      <c r="E59" s="5" t="s">
        <v>76</v>
      </c>
      <c r="F59" s="5" t="n">
        <v>11</v>
      </c>
      <c r="G59" s="5" t="n">
        <v>158</v>
      </c>
      <c r="H59" s="5" t="n">
        <v>168</v>
      </c>
      <c r="I59" s="5" t="s">
        <v>197</v>
      </c>
      <c r="J59" s="6"/>
      <c r="K59" s="5" t="n">
        <f aca="false">IF(H59="","",H59-G59)</f>
        <v>10</v>
      </c>
      <c r="L59" s="6"/>
    </row>
    <row r="60" customFormat="false" ht="15" hidden="false" customHeight="false" outlineLevel="0" collapsed="false">
      <c r="A60" s="5" t="n">
        <v>59</v>
      </c>
      <c r="B60" s="5" t="n">
        <v>7</v>
      </c>
      <c r="C60" s="6" t="s">
        <v>163</v>
      </c>
      <c r="D60" s="7" t="s">
        <v>198</v>
      </c>
      <c r="E60" s="5" t="s">
        <v>32</v>
      </c>
      <c r="F60" s="5" t="n">
        <v>7</v>
      </c>
      <c r="G60" s="5" t="n">
        <v>159</v>
      </c>
      <c r="H60" s="5" t="n">
        <v>167</v>
      </c>
      <c r="I60" s="5" t="s">
        <v>199</v>
      </c>
      <c r="J60" s="6"/>
      <c r="K60" s="5" t="n">
        <f aca="false">IF(H60="","",H60-G60)</f>
        <v>8</v>
      </c>
      <c r="L60" s="6"/>
    </row>
    <row r="61" customFormat="false" ht="15" hidden="false" customHeight="false" outlineLevel="0" collapsed="false">
      <c r="A61" s="5" t="n">
        <v>60</v>
      </c>
      <c r="B61" s="5" t="n">
        <v>7</v>
      </c>
      <c r="C61" s="6" t="s">
        <v>163</v>
      </c>
      <c r="D61" s="7" t="s">
        <v>200</v>
      </c>
      <c r="E61" s="5" t="s">
        <v>80</v>
      </c>
      <c r="F61" s="5" t="n">
        <v>8</v>
      </c>
      <c r="G61" s="5" t="n">
        <v>168</v>
      </c>
      <c r="H61" s="5" t="n">
        <v>193</v>
      </c>
      <c r="I61" s="5" t="s">
        <v>201</v>
      </c>
      <c r="J61" s="6"/>
      <c r="K61" s="5" t="n">
        <f aca="false">IF(H61="","",H61-G61)</f>
        <v>25</v>
      </c>
      <c r="L61" s="8" t="s">
        <v>202</v>
      </c>
    </row>
    <row r="62" customFormat="false" ht="15" hidden="false" customHeight="false" outlineLevel="0" collapsed="false">
      <c r="A62" s="5" t="n">
        <v>61</v>
      </c>
      <c r="B62" s="5" t="n">
        <v>7</v>
      </c>
      <c r="C62" s="6" t="s">
        <v>163</v>
      </c>
      <c r="D62" s="7" t="s">
        <v>203</v>
      </c>
      <c r="E62" s="5" t="s">
        <v>73</v>
      </c>
      <c r="F62" s="5" t="n">
        <v>8</v>
      </c>
      <c r="G62" s="5" t="n">
        <v>169</v>
      </c>
      <c r="H62" s="5" t="n">
        <v>195</v>
      </c>
      <c r="I62" s="5" t="s">
        <v>204</v>
      </c>
      <c r="J62" s="6"/>
      <c r="K62" s="5" t="n">
        <f aca="false">IF(H62="","",H62-G62)</f>
        <v>26</v>
      </c>
      <c r="L62" s="6"/>
    </row>
  </sheetData>
  <autoFilter ref="A1:L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205</v>
      </c>
      <c r="D2" s="4" t="s">
        <v>206</v>
      </c>
      <c r="E2" s="2" t="s">
        <v>46</v>
      </c>
      <c r="F2" s="2" t="n">
        <v>6</v>
      </c>
      <c r="G2" s="2" t="n">
        <v>3</v>
      </c>
      <c r="H2" s="2" t="n">
        <v>3</v>
      </c>
      <c r="I2" s="2" t="s">
        <v>207</v>
      </c>
      <c r="J2" s="3" t="n">
        <v>3.4</v>
      </c>
      <c r="K2" s="2" t="n">
        <f aca="false">IF(H2="","",H2-G2)</f>
        <v>0</v>
      </c>
      <c r="L2" s="8" t="s">
        <v>208</v>
      </c>
    </row>
    <row r="3" customFormat="false" ht="15" hidden="false" customHeight="false" outlineLevel="0" collapsed="false">
      <c r="A3" s="5" t="n">
        <v>2</v>
      </c>
      <c r="B3" s="5" t="n">
        <v>1</v>
      </c>
      <c r="C3" s="6" t="s">
        <v>205</v>
      </c>
      <c r="D3" s="7" t="s">
        <v>209</v>
      </c>
      <c r="E3" s="5" t="s">
        <v>61</v>
      </c>
      <c r="F3" s="5" t="n">
        <v>11</v>
      </c>
      <c r="G3" s="5" t="n">
        <v>4</v>
      </c>
      <c r="H3" s="5" t="n">
        <v>4</v>
      </c>
      <c r="I3" s="5" t="s">
        <v>210</v>
      </c>
      <c r="J3" s="6" t="n">
        <v>4.6</v>
      </c>
      <c r="K3" s="5" t="n">
        <f aca="false">IF(H3="","",H3-G3)</f>
        <v>0</v>
      </c>
      <c r="L3" s="6"/>
    </row>
    <row r="4" customFormat="false" ht="15" hidden="false" customHeight="false" outlineLevel="0" collapsed="false">
      <c r="A4" s="5" t="n">
        <v>3</v>
      </c>
      <c r="B4" s="5" t="n">
        <v>1</v>
      </c>
      <c r="C4" s="6" t="s">
        <v>205</v>
      </c>
      <c r="D4" s="7" t="s">
        <v>211</v>
      </c>
      <c r="E4" s="5" t="s">
        <v>103</v>
      </c>
      <c r="F4" s="5" t="n">
        <v>11</v>
      </c>
      <c r="G4" s="5" t="n">
        <v>5</v>
      </c>
      <c r="H4" s="5" t="n">
        <v>5</v>
      </c>
      <c r="I4" s="5" t="s">
        <v>212</v>
      </c>
      <c r="J4" s="6" t="n">
        <v>6.1</v>
      </c>
      <c r="K4" s="5" t="n">
        <f aca="false">IF(H4="","",H4-G4)</f>
        <v>0</v>
      </c>
      <c r="L4" s="6"/>
    </row>
    <row r="5" customFormat="false" ht="15" hidden="false" customHeight="false" outlineLevel="0" collapsed="false">
      <c r="A5" s="5" t="n">
        <v>4</v>
      </c>
      <c r="B5" s="5" t="n">
        <v>1</v>
      </c>
      <c r="C5" s="6" t="s">
        <v>205</v>
      </c>
      <c r="D5" s="7" t="s">
        <v>213</v>
      </c>
      <c r="E5" s="5" t="s">
        <v>14</v>
      </c>
      <c r="F5" s="5" t="n">
        <v>6</v>
      </c>
      <c r="G5" s="5" t="n">
        <v>7</v>
      </c>
      <c r="H5" s="5" t="n">
        <v>8</v>
      </c>
      <c r="I5" s="5" t="s">
        <v>214</v>
      </c>
      <c r="J5" s="6" t="n">
        <v>7.4</v>
      </c>
      <c r="K5" s="5" t="n">
        <f aca="false">IF(H5="","",H5-G5)</f>
        <v>1</v>
      </c>
      <c r="L5" s="6"/>
    </row>
    <row r="6" customFormat="false" ht="15" hidden="false" customHeight="false" outlineLevel="0" collapsed="false">
      <c r="A6" s="5" t="n">
        <v>5</v>
      </c>
      <c r="B6" s="5" t="n">
        <v>1</v>
      </c>
      <c r="C6" s="6" t="s">
        <v>205</v>
      </c>
      <c r="D6" s="7" t="s">
        <v>215</v>
      </c>
      <c r="E6" s="5" t="s">
        <v>141</v>
      </c>
      <c r="F6" s="5" t="n">
        <v>6</v>
      </c>
      <c r="G6" s="5" t="n">
        <v>10</v>
      </c>
      <c r="H6" s="5" t="n">
        <v>10</v>
      </c>
      <c r="I6" s="5" t="s">
        <v>216</v>
      </c>
      <c r="J6" s="6" t="n">
        <v>13.4</v>
      </c>
      <c r="K6" s="5" t="n">
        <f aca="false">IF(H6="","",H6-G6)</f>
        <v>0</v>
      </c>
      <c r="L6" s="8" t="s">
        <v>217</v>
      </c>
    </row>
    <row r="7" customFormat="false" ht="15" hidden="false" customHeight="false" outlineLevel="0" collapsed="false">
      <c r="A7" s="5" t="n">
        <v>6</v>
      </c>
      <c r="B7" s="5" t="n">
        <v>1</v>
      </c>
      <c r="C7" s="6" t="s">
        <v>205</v>
      </c>
      <c r="D7" s="7" t="s">
        <v>218</v>
      </c>
      <c r="E7" s="5" t="s">
        <v>57</v>
      </c>
      <c r="F7" s="5" t="n">
        <v>14</v>
      </c>
      <c r="G7" s="5" t="n">
        <v>11</v>
      </c>
      <c r="H7" s="5" t="n">
        <v>9</v>
      </c>
      <c r="I7" s="5" t="s">
        <v>219</v>
      </c>
      <c r="J7" s="6" t="n">
        <v>11</v>
      </c>
      <c r="K7" s="5" t="n">
        <f aca="false">IF(H7="","",H7-G7)</f>
        <v>-2</v>
      </c>
      <c r="L7" s="8" t="s">
        <v>220</v>
      </c>
    </row>
    <row r="8" customFormat="false" ht="15" hidden="false" customHeight="false" outlineLevel="0" collapsed="false">
      <c r="A8" s="2" t="n">
        <v>7</v>
      </c>
      <c r="B8" s="2" t="n">
        <v>2</v>
      </c>
      <c r="C8" s="3" t="s">
        <v>221</v>
      </c>
      <c r="D8" s="4" t="s">
        <v>222</v>
      </c>
      <c r="E8" s="2" t="s">
        <v>90</v>
      </c>
      <c r="F8" s="2" t="n">
        <v>8</v>
      </c>
      <c r="G8" s="2" t="n">
        <v>14</v>
      </c>
      <c r="H8" s="2" t="n">
        <v>25</v>
      </c>
      <c r="I8" s="2" t="s">
        <v>223</v>
      </c>
      <c r="J8" s="3" t="n">
        <v>21.5</v>
      </c>
      <c r="K8" s="2" t="n">
        <f aca="false">IF(H8="","",H8-G8)</f>
        <v>11</v>
      </c>
      <c r="L8" s="8" t="s">
        <v>224</v>
      </c>
    </row>
    <row r="9" customFormat="false" ht="15" hidden="false" customHeight="false" outlineLevel="0" collapsed="false">
      <c r="A9" s="5" t="n">
        <v>8</v>
      </c>
      <c r="B9" s="5" t="n">
        <v>2</v>
      </c>
      <c r="C9" s="6" t="s">
        <v>221</v>
      </c>
      <c r="D9" s="7" t="s">
        <v>225</v>
      </c>
      <c r="E9" s="5" t="s">
        <v>107</v>
      </c>
      <c r="F9" s="5" t="n">
        <v>11</v>
      </c>
      <c r="G9" s="5" t="n">
        <v>15</v>
      </c>
      <c r="H9" s="5" t="n">
        <v>26</v>
      </c>
      <c r="I9" s="5" t="s">
        <v>226</v>
      </c>
      <c r="J9" s="6" t="n">
        <v>19.5</v>
      </c>
      <c r="K9" s="5" t="n">
        <f aca="false">IF(H9="","",H9-G9)</f>
        <v>11</v>
      </c>
      <c r="L9" s="8" t="s">
        <v>227</v>
      </c>
    </row>
    <row r="10" customFormat="false" ht="15" hidden="false" customHeight="false" outlineLevel="0" collapsed="false">
      <c r="A10" s="5" t="n">
        <v>9</v>
      </c>
      <c r="B10" s="5" t="n">
        <v>2</v>
      </c>
      <c r="C10" s="6" t="s">
        <v>221</v>
      </c>
      <c r="D10" s="7" t="s">
        <v>228</v>
      </c>
      <c r="E10" s="5" t="s">
        <v>17</v>
      </c>
      <c r="F10" s="5" t="n">
        <v>11</v>
      </c>
      <c r="G10" s="5" t="n">
        <v>19</v>
      </c>
      <c r="H10" s="5" t="n">
        <v>14</v>
      </c>
      <c r="I10" s="5" t="s">
        <v>229</v>
      </c>
      <c r="J10" s="6" t="n">
        <v>20</v>
      </c>
      <c r="K10" s="5" t="n">
        <f aca="false">IF(H10="","",H10-G10)</f>
        <v>-5</v>
      </c>
      <c r="L10" s="8" t="s">
        <v>230</v>
      </c>
    </row>
    <row r="11" customFormat="false" ht="15" hidden="false" customHeight="false" outlineLevel="0" collapsed="false">
      <c r="A11" s="5" t="n">
        <v>10</v>
      </c>
      <c r="B11" s="5" t="n">
        <v>2</v>
      </c>
      <c r="C11" s="6" t="s">
        <v>221</v>
      </c>
      <c r="D11" s="7" t="s">
        <v>231</v>
      </c>
      <c r="E11" s="5" t="s">
        <v>73</v>
      </c>
      <c r="F11" s="5" t="n">
        <v>8</v>
      </c>
      <c r="G11" s="5" t="n">
        <v>20</v>
      </c>
      <c r="H11" s="5" t="n">
        <v>27</v>
      </c>
      <c r="I11" s="5" t="s">
        <v>232</v>
      </c>
      <c r="J11" s="6" t="n">
        <v>26.2</v>
      </c>
      <c r="K11" s="5" t="n">
        <f aca="false">IF(H11="","",H11-G11)</f>
        <v>7</v>
      </c>
      <c r="L11" s="8" t="s">
        <v>233</v>
      </c>
    </row>
    <row r="12" customFormat="false" ht="15" hidden="false" customHeight="false" outlineLevel="0" collapsed="false">
      <c r="A12" s="5" t="n">
        <v>11</v>
      </c>
      <c r="B12" s="5" t="n">
        <v>2</v>
      </c>
      <c r="C12" s="6" t="s">
        <v>221</v>
      </c>
      <c r="D12" s="7" t="s">
        <v>234</v>
      </c>
      <c r="E12" s="5" t="s">
        <v>80</v>
      </c>
      <c r="F12" s="5" t="n">
        <v>8</v>
      </c>
      <c r="G12" s="5" t="n">
        <v>23</v>
      </c>
      <c r="H12" s="5" t="n">
        <v>28</v>
      </c>
      <c r="I12" s="5" t="s">
        <v>235</v>
      </c>
      <c r="J12" s="6" t="n">
        <v>25.9</v>
      </c>
      <c r="K12" s="5" t="n">
        <f aca="false">IF(H12="","",H12-G12)</f>
        <v>5</v>
      </c>
      <c r="L12" s="6"/>
    </row>
    <row r="13" customFormat="false" ht="15" hidden="false" customHeight="false" outlineLevel="0" collapsed="false">
      <c r="A13" s="5" t="n">
        <v>12</v>
      </c>
      <c r="B13" s="5" t="n">
        <v>2</v>
      </c>
      <c r="C13" s="6" t="s">
        <v>221</v>
      </c>
      <c r="D13" s="7" t="s">
        <v>236</v>
      </c>
      <c r="E13" s="5" t="s">
        <v>57</v>
      </c>
      <c r="F13" s="5" t="n">
        <v>14</v>
      </c>
      <c r="G13" s="5" t="n">
        <v>24</v>
      </c>
      <c r="H13" s="5" t="n">
        <v>31</v>
      </c>
      <c r="I13" s="5" t="s">
        <v>237</v>
      </c>
      <c r="J13" s="6" t="n">
        <v>24.3</v>
      </c>
      <c r="K13" s="5" t="n">
        <f aca="false">IF(H13="","",H13-G13)</f>
        <v>7</v>
      </c>
      <c r="L13" s="8" t="s">
        <v>238</v>
      </c>
    </row>
    <row r="14" customFormat="false" ht="15" hidden="false" customHeight="false" outlineLevel="0" collapsed="false">
      <c r="A14" s="5" t="n">
        <v>13</v>
      </c>
      <c r="B14" s="5" t="n">
        <v>2</v>
      </c>
      <c r="C14" s="6" t="s">
        <v>221</v>
      </c>
      <c r="D14" s="7" t="s">
        <v>239</v>
      </c>
      <c r="E14" s="5" t="s">
        <v>68</v>
      </c>
      <c r="F14" s="5" t="n">
        <v>13</v>
      </c>
      <c r="G14" s="5" t="n">
        <v>26</v>
      </c>
      <c r="H14" s="5" t="n">
        <v>29</v>
      </c>
      <c r="I14" s="5" t="s">
        <v>240</v>
      </c>
      <c r="J14" s="6" t="n">
        <v>36.9</v>
      </c>
      <c r="K14" s="5" t="n">
        <f aca="false">IF(H14="","",H14-G14)</f>
        <v>3</v>
      </c>
      <c r="L14" s="6"/>
    </row>
    <row r="15" customFormat="false" ht="15" hidden="false" customHeight="false" outlineLevel="0" collapsed="false">
      <c r="A15" s="2" t="n">
        <v>14</v>
      </c>
      <c r="B15" s="2" t="n">
        <v>3</v>
      </c>
      <c r="C15" s="3" t="s">
        <v>241</v>
      </c>
      <c r="D15" s="4" t="s">
        <v>242</v>
      </c>
      <c r="E15" s="2" t="s">
        <v>46</v>
      </c>
      <c r="F15" s="2" t="n">
        <v>6</v>
      </c>
      <c r="G15" s="2" t="n">
        <v>30</v>
      </c>
      <c r="H15" s="2" t="n">
        <v>46</v>
      </c>
      <c r="I15" s="2" t="s">
        <v>243</v>
      </c>
      <c r="J15" s="3" t="n">
        <v>35.6</v>
      </c>
      <c r="K15" s="2" t="n">
        <f aca="false">IF(H15="","",H15-G15)</f>
        <v>16</v>
      </c>
      <c r="L15" s="8" t="s">
        <v>244</v>
      </c>
    </row>
    <row r="16" customFormat="false" ht="15" hidden="false" customHeight="false" outlineLevel="0" collapsed="false">
      <c r="A16" s="5" t="n">
        <v>15</v>
      </c>
      <c r="B16" s="5" t="n">
        <v>3</v>
      </c>
      <c r="C16" s="6" t="s">
        <v>241</v>
      </c>
      <c r="D16" s="7" t="s">
        <v>245</v>
      </c>
      <c r="E16" s="5" t="s">
        <v>35</v>
      </c>
      <c r="F16" s="5" t="n">
        <v>10</v>
      </c>
      <c r="G16" s="5" t="n">
        <v>31</v>
      </c>
      <c r="H16" s="5" t="n">
        <v>35</v>
      </c>
      <c r="I16" s="5" t="s">
        <v>246</v>
      </c>
      <c r="J16" s="6" t="n">
        <v>29.9</v>
      </c>
      <c r="K16" s="5" t="n">
        <f aca="false">IF(H16="","",H16-G16)</f>
        <v>4</v>
      </c>
      <c r="L16" s="6"/>
    </row>
    <row r="17" customFormat="false" ht="15" hidden="false" customHeight="false" outlineLevel="0" collapsed="false">
      <c r="A17" s="5" t="n">
        <v>16</v>
      </c>
      <c r="B17" s="5" t="n">
        <v>3</v>
      </c>
      <c r="C17" s="6" t="s">
        <v>241</v>
      </c>
      <c r="D17" s="7" t="s">
        <v>247</v>
      </c>
      <c r="E17" s="5" t="s">
        <v>42</v>
      </c>
      <c r="F17" s="5" t="n">
        <v>13</v>
      </c>
      <c r="G17" s="5" t="n">
        <v>33</v>
      </c>
      <c r="H17" s="5" t="n">
        <v>33</v>
      </c>
      <c r="I17" s="5" t="s">
        <v>248</v>
      </c>
      <c r="J17" s="6" t="n">
        <v>31.2</v>
      </c>
      <c r="K17" s="5" t="n">
        <f aca="false">IF(H17="","",H17-G17)</f>
        <v>0</v>
      </c>
      <c r="L17" s="6"/>
    </row>
    <row r="18" customFormat="false" ht="15" hidden="false" customHeight="false" outlineLevel="0" collapsed="false">
      <c r="A18" s="5" t="n">
        <v>17</v>
      </c>
      <c r="B18" s="5" t="n">
        <v>3</v>
      </c>
      <c r="C18" s="6" t="s">
        <v>241</v>
      </c>
      <c r="D18" s="7" t="s">
        <v>249</v>
      </c>
      <c r="E18" s="5" t="s">
        <v>120</v>
      </c>
      <c r="F18" s="5" t="n">
        <v>5</v>
      </c>
      <c r="G18" s="5" t="n">
        <v>35</v>
      </c>
      <c r="H18" s="5" t="n">
        <v>34</v>
      </c>
      <c r="I18" s="5" t="s">
        <v>250</v>
      </c>
      <c r="J18" s="6" t="n">
        <v>37</v>
      </c>
      <c r="K18" s="5" t="n">
        <f aca="false">IF(H18="","",H18-G18)</f>
        <v>-1</v>
      </c>
      <c r="L18" s="6"/>
    </row>
    <row r="19" customFormat="false" ht="15" hidden="false" customHeight="false" outlineLevel="0" collapsed="false">
      <c r="A19" s="5" t="n">
        <v>18</v>
      </c>
      <c r="B19" s="5" t="n">
        <v>3</v>
      </c>
      <c r="C19" s="6" t="s">
        <v>241</v>
      </c>
      <c r="D19" s="7" t="s">
        <v>251</v>
      </c>
      <c r="E19" s="5" t="s">
        <v>38</v>
      </c>
      <c r="F19" s="5" t="n">
        <v>7</v>
      </c>
      <c r="G19" s="5" t="n">
        <v>36</v>
      </c>
      <c r="H19" s="5" t="n">
        <v>44</v>
      </c>
      <c r="I19" s="5" t="s">
        <v>252</v>
      </c>
      <c r="J19" s="6" t="n">
        <v>40.7</v>
      </c>
      <c r="K19" s="5" t="n">
        <f aca="false">IF(H19="","",H19-G19)</f>
        <v>8</v>
      </c>
      <c r="L19" s="6"/>
    </row>
    <row r="20" customFormat="false" ht="15" hidden="false" customHeight="false" outlineLevel="0" collapsed="false">
      <c r="A20" s="5" t="n">
        <v>19</v>
      </c>
      <c r="B20" s="5" t="n">
        <v>3</v>
      </c>
      <c r="C20" s="6" t="s">
        <v>241</v>
      </c>
      <c r="D20" s="7" t="s">
        <v>253</v>
      </c>
      <c r="E20" s="5" t="s">
        <v>138</v>
      </c>
      <c r="F20" s="5" t="n">
        <v>7</v>
      </c>
      <c r="G20" s="5" t="n">
        <v>37</v>
      </c>
      <c r="H20" s="5" t="n">
        <v>45</v>
      </c>
      <c r="I20" s="5" t="s">
        <v>254</v>
      </c>
      <c r="J20" s="6" t="n">
        <v>50.5</v>
      </c>
      <c r="K20" s="5" t="n">
        <f aca="false">IF(H20="","",H20-G20)</f>
        <v>8</v>
      </c>
      <c r="L20" s="6"/>
    </row>
    <row r="21" customFormat="false" ht="15" hidden="false" customHeight="false" outlineLevel="0" collapsed="false">
      <c r="A21" s="5" t="n">
        <v>20</v>
      </c>
      <c r="B21" s="5" t="n">
        <v>3</v>
      </c>
      <c r="C21" s="6" t="s">
        <v>241</v>
      </c>
      <c r="D21" s="7" t="s">
        <v>255</v>
      </c>
      <c r="E21" s="5" t="s">
        <v>49</v>
      </c>
      <c r="F21" s="5" t="n">
        <v>5</v>
      </c>
      <c r="G21" s="5" t="n">
        <v>38</v>
      </c>
      <c r="H21" s="5" t="n">
        <v>24</v>
      </c>
      <c r="I21" s="5" t="s">
        <v>256</v>
      </c>
      <c r="J21" s="6" t="n">
        <v>29.1</v>
      </c>
      <c r="K21" s="5" t="n">
        <f aca="false">IF(H21="","",H21-G21)</f>
        <v>-14</v>
      </c>
      <c r="L21" s="8" t="s">
        <v>257</v>
      </c>
    </row>
    <row r="22" customFormat="false" ht="15" hidden="false" customHeight="false" outlineLevel="0" collapsed="false">
      <c r="A22" s="5" t="n">
        <v>21</v>
      </c>
      <c r="B22" s="5" t="n">
        <v>3</v>
      </c>
      <c r="C22" s="6" t="s">
        <v>241</v>
      </c>
      <c r="D22" s="7" t="s">
        <v>258</v>
      </c>
      <c r="E22" s="5" t="s">
        <v>61</v>
      </c>
      <c r="F22" s="5" t="n">
        <v>11</v>
      </c>
      <c r="G22" s="5" t="n">
        <v>41</v>
      </c>
      <c r="H22" s="5" t="n">
        <v>43</v>
      </c>
      <c r="I22" s="5" t="s">
        <v>259</v>
      </c>
      <c r="J22" s="6" t="n">
        <v>51.9</v>
      </c>
      <c r="K22" s="5" t="n">
        <f aca="false">IF(H22="","",H22-G22)</f>
        <v>2</v>
      </c>
      <c r="L22" s="6"/>
    </row>
    <row r="23" customFormat="false" ht="15" hidden="false" customHeight="false" outlineLevel="0" collapsed="false">
      <c r="A23" s="5" t="n">
        <v>22</v>
      </c>
      <c r="B23" s="5" t="n">
        <v>3</v>
      </c>
      <c r="C23" s="6" t="s">
        <v>241</v>
      </c>
      <c r="D23" s="7" t="s">
        <v>260</v>
      </c>
      <c r="E23" s="5" t="s">
        <v>132</v>
      </c>
      <c r="F23" s="5" t="n">
        <v>10</v>
      </c>
      <c r="G23" s="5" t="n">
        <v>43</v>
      </c>
      <c r="H23" s="5" t="n">
        <v>47</v>
      </c>
      <c r="I23" s="5" t="s">
        <v>261</v>
      </c>
      <c r="J23" s="6" t="n">
        <v>43.5</v>
      </c>
      <c r="K23" s="5" t="n">
        <f aca="false">IF(H23="","",H23-G23)</f>
        <v>4</v>
      </c>
      <c r="L23" s="6"/>
    </row>
    <row r="24" customFormat="false" ht="15" hidden="false" customHeight="false" outlineLevel="0" collapsed="false">
      <c r="A24" s="2" t="n">
        <v>23</v>
      </c>
      <c r="B24" s="2" t="n">
        <v>4</v>
      </c>
      <c r="C24" s="3" t="s">
        <v>262</v>
      </c>
      <c r="D24" s="4" t="s">
        <v>263</v>
      </c>
      <c r="E24" s="2" t="s">
        <v>87</v>
      </c>
      <c r="F24" s="2" t="n">
        <v>10</v>
      </c>
      <c r="G24" s="2" t="n">
        <v>46</v>
      </c>
      <c r="H24" s="2" t="n">
        <v>48</v>
      </c>
      <c r="I24" s="2" t="s">
        <v>264</v>
      </c>
      <c r="J24" s="3" t="n">
        <v>57.5</v>
      </c>
      <c r="K24" s="2" t="n">
        <f aca="false">IF(H24="","",H24-G24)</f>
        <v>2</v>
      </c>
      <c r="L24" s="8" t="s">
        <v>265</v>
      </c>
    </row>
    <row r="25" customFormat="false" ht="15" hidden="false" customHeight="false" outlineLevel="0" collapsed="false">
      <c r="A25" s="5" t="n">
        <v>24</v>
      </c>
      <c r="B25" s="5" t="n">
        <v>4</v>
      </c>
      <c r="C25" s="6" t="s">
        <v>262</v>
      </c>
      <c r="D25" s="7" t="s">
        <v>266</v>
      </c>
      <c r="E25" s="5" t="s">
        <v>84</v>
      </c>
      <c r="F25" s="5" t="n">
        <v>10</v>
      </c>
      <c r="G25" s="5" t="n">
        <v>48</v>
      </c>
      <c r="H25" s="5" t="n">
        <v>42</v>
      </c>
      <c r="I25" s="5" t="s">
        <v>267</v>
      </c>
      <c r="J25" s="6" t="n">
        <v>40.4</v>
      </c>
      <c r="K25" s="5" t="n">
        <f aca="false">IF(H25="","",H25-G25)</f>
        <v>-6</v>
      </c>
      <c r="L25" s="8" t="s">
        <v>268</v>
      </c>
    </row>
    <row r="26" customFormat="false" ht="15" hidden="false" customHeight="false" outlineLevel="0" collapsed="false">
      <c r="A26" s="5" t="n">
        <v>25</v>
      </c>
      <c r="B26" s="5" t="n">
        <v>4</v>
      </c>
      <c r="C26" s="6" t="s">
        <v>262</v>
      </c>
      <c r="D26" s="7" t="s">
        <v>269</v>
      </c>
      <c r="E26" s="5" t="s">
        <v>14</v>
      </c>
      <c r="F26" s="5" t="n">
        <v>6</v>
      </c>
      <c r="G26" s="5" t="n">
        <v>49</v>
      </c>
      <c r="H26" s="5" t="n">
        <v>51</v>
      </c>
      <c r="I26" s="5" t="s">
        <v>270</v>
      </c>
      <c r="J26" s="6" t="n">
        <v>53.6</v>
      </c>
      <c r="K26" s="5" t="n">
        <f aca="false">IF(H26="","",H26-G26)</f>
        <v>2</v>
      </c>
      <c r="L26" s="6"/>
    </row>
    <row r="27" customFormat="false" ht="15" hidden="false" customHeight="false" outlineLevel="0" collapsed="false">
      <c r="A27" s="5" t="n">
        <v>26</v>
      </c>
      <c r="B27" s="5" t="n">
        <v>4</v>
      </c>
      <c r="C27" s="6" t="s">
        <v>262</v>
      </c>
      <c r="D27" s="7" t="s">
        <v>271</v>
      </c>
      <c r="E27" s="5" t="s">
        <v>32</v>
      </c>
      <c r="F27" s="5" t="n">
        <v>7</v>
      </c>
      <c r="G27" s="5" t="n">
        <v>51</v>
      </c>
      <c r="H27" s="5" t="n">
        <v>52</v>
      </c>
      <c r="I27" s="5" t="s">
        <v>272</v>
      </c>
      <c r="J27" s="6" t="n">
        <v>55.8</v>
      </c>
      <c r="K27" s="5" t="n">
        <f aca="false">IF(H27="","",H27-G27)</f>
        <v>1</v>
      </c>
      <c r="L27" s="6"/>
    </row>
    <row r="28" customFormat="false" ht="15" hidden="false" customHeight="false" outlineLevel="0" collapsed="false">
      <c r="A28" s="5" t="n">
        <v>27</v>
      </c>
      <c r="B28" s="5" t="n">
        <v>4</v>
      </c>
      <c r="C28" s="6" t="s">
        <v>262</v>
      </c>
      <c r="D28" s="7" t="s">
        <v>273</v>
      </c>
      <c r="E28" s="5" t="s">
        <v>116</v>
      </c>
      <c r="F28" s="5" t="n">
        <v>11</v>
      </c>
      <c r="G28" s="5" t="n">
        <v>55</v>
      </c>
      <c r="H28" s="5" t="n">
        <v>76</v>
      </c>
      <c r="I28" s="5" t="s">
        <v>274</v>
      </c>
      <c r="J28" s="6" t="n">
        <v>56.5</v>
      </c>
      <c r="K28" s="5" t="n">
        <f aca="false">IF(H28="","",H28-G28)</f>
        <v>21</v>
      </c>
      <c r="L28" s="8" t="s">
        <v>275</v>
      </c>
    </row>
    <row r="29" customFormat="false" ht="15" hidden="false" customHeight="false" outlineLevel="0" collapsed="false">
      <c r="A29" s="5" t="n">
        <v>28</v>
      </c>
      <c r="B29" s="5" t="n">
        <v>4</v>
      </c>
      <c r="C29" s="6" t="s">
        <v>262</v>
      </c>
      <c r="D29" s="7" t="s">
        <v>276</v>
      </c>
      <c r="E29" s="5" t="s">
        <v>110</v>
      </c>
      <c r="F29" s="5" t="n">
        <v>9</v>
      </c>
      <c r="G29" s="5" t="n">
        <v>57</v>
      </c>
      <c r="H29" s="5" t="n">
        <v>54</v>
      </c>
      <c r="I29" s="5" t="s">
        <v>277</v>
      </c>
      <c r="J29" s="6" t="n">
        <v>65.4</v>
      </c>
      <c r="K29" s="5" t="n">
        <f aca="false">IF(H29="","",H29-G29)</f>
        <v>-3</v>
      </c>
      <c r="L29" s="8" t="s">
        <v>278</v>
      </c>
    </row>
    <row r="30" customFormat="false" ht="15" hidden="false" customHeight="false" outlineLevel="0" collapsed="false">
      <c r="A30" s="5" t="n">
        <v>29</v>
      </c>
      <c r="B30" s="5" t="n">
        <v>4</v>
      </c>
      <c r="C30" s="6" t="s">
        <v>262</v>
      </c>
      <c r="D30" s="7" t="s">
        <v>279</v>
      </c>
      <c r="E30" s="5" t="s">
        <v>64</v>
      </c>
      <c r="F30" s="5" t="n">
        <v>14</v>
      </c>
      <c r="G30" s="5" t="n">
        <v>60</v>
      </c>
      <c r="H30" s="5" t="n">
        <v>67</v>
      </c>
      <c r="I30" s="5" t="s">
        <v>280</v>
      </c>
      <c r="J30" s="6" t="n">
        <v>67.6</v>
      </c>
      <c r="K30" s="5" t="n">
        <f aca="false">IF(H30="","",H30-G30)</f>
        <v>7</v>
      </c>
      <c r="L30" s="8" t="s">
        <v>238</v>
      </c>
    </row>
    <row r="31" customFormat="false" ht="15" hidden="false" customHeight="false" outlineLevel="0" collapsed="false">
      <c r="A31" s="5" t="n">
        <v>30</v>
      </c>
      <c r="B31" s="5" t="n">
        <v>4</v>
      </c>
      <c r="C31" s="6" t="s">
        <v>262</v>
      </c>
      <c r="D31" s="7" t="s">
        <v>281</v>
      </c>
      <c r="E31" s="5" t="s">
        <v>94</v>
      </c>
      <c r="F31" s="5" t="n">
        <v>7</v>
      </c>
      <c r="G31" s="5" t="n">
        <v>61</v>
      </c>
      <c r="H31" s="5" t="n">
        <v>79</v>
      </c>
      <c r="I31" s="5" t="s">
        <v>282</v>
      </c>
      <c r="J31" s="6" t="n">
        <v>66.1</v>
      </c>
      <c r="K31" s="5" t="n">
        <f aca="false">IF(H31="","",H31-G31)</f>
        <v>18</v>
      </c>
      <c r="L31" s="8" t="s">
        <v>283</v>
      </c>
    </row>
    <row r="32" customFormat="false" ht="15" hidden="false" customHeight="false" outlineLevel="0" collapsed="false">
      <c r="A32" s="5" t="n">
        <v>31</v>
      </c>
      <c r="B32" s="5" t="n">
        <v>4</v>
      </c>
      <c r="C32" s="6" t="s">
        <v>262</v>
      </c>
      <c r="D32" s="7" t="s">
        <v>284</v>
      </c>
      <c r="E32" s="5" t="s">
        <v>87</v>
      </c>
      <c r="F32" s="5" t="n">
        <v>10</v>
      </c>
      <c r="G32" s="5" t="n">
        <v>62</v>
      </c>
      <c r="H32" s="5" t="n">
        <v>53</v>
      </c>
      <c r="I32" s="5" t="s">
        <v>285</v>
      </c>
      <c r="J32" s="6" t="n">
        <v>44.9</v>
      </c>
      <c r="K32" s="5" t="n">
        <f aca="false">IF(H32="","",H32-G32)</f>
        <v>-9</v>
      </c>
      <c r="L32" s="8" t="s">
        <v>286</v>
      </c>
    </row>
    <row r="33" customFormat="false" ht="15" hidden="false" customHeight="false" outlineLevel="0" collapsed="false">
      <c r="A33" s="5" t="n">
        <v>32</v>
      </c>
      <c r="B33" s="5" t="n">
        <v>4</v>
      </c>
      <c r="C33" s="6" t="s">
        <v>262</v>
      </c>
      <c r="D33" s="7" t="s">
        <v>287</v>
      </c>
      <c r="E33" s="5" t="s">
        <v>94</v>
      </c>
      <c r="F33" s="5" t="n">
        <v>7</v>
      </c>
      <c r="G33" s="5" t="n">
        <v>63</v>
      </c>
      <c r="H33" s="5" t="n">
        <v>69</v>
      </c>
      <c r="I33" s="5" t="s">
        <v>288</v>
      </c>
      <c r="J33" s="6" t="n">
        <v>57.3</v>
      </c>
      <c r="K33" s="5" t="n">
        <f aca="false">IF(H33="","",H33-G33)</f>
        <v>6</v>
      </c>
      <c r="L33" s="8" t="s">
        <v>289</v>
      </c>
    </row>
    <row r="34" customFormat="false" ht="15" hidden="false" customHeight="false" outlineLevel="0" collapsed="false">
      <c r="A34" s="2" t="n">
        <v>33</v>
      </c>
      <c r="B34" s="2" t="n">
        <v>5</v>
      </c>
      <c r="C34" s="3" t="s">
        <v>290</v>
      </c>
      <c r="D34" s="4" t="s">
        <v>291</v>
      </c>
      <c r="E34" s="2" t="s">
        <v>98</v>
      </c>
      <c r="F34" s="2" t="n">
        <v>9</v>
      </c>
      <c r="G34" s="2" t="n">
        <v>64</v>
      </c>
      <c r="H34" s="2" t="n">
        <v>68</v>
      </c>
      <c r="I34" s="2" t="s">
        <v>292</v>
      </c>
      <c r="J34" s="3" t="n">
        <v>79.1</v>
      </c>
      <c r="K34" s="2" t="n">
        <f aca="false">IF(H34="","",H34-G34)</f>
        <v>4</v>
      </c>
      <c r="L34" s="3"/>
    </row>
    <row r="35" customFormat="false" ht="15" hidden="false" customHeight="false" outlineLevel="0" collapsed="false">
      <c r="A35" s="5" t="n">
        <v>34</v>
      </c>
      <c r="B35" s="5" t="n">
        <v>5</v>
      </c>
      <c r="C35" s="6" t="s">
        <v>290</v>
      </c>
      <c r="D35" s="7" t="s">
        <v>293</v>
      </c>
      <c r="E35" s="5" t="s">
        <v>132</v>
      </c>
      <c r="F35" s="5" t="n">
        <v>10</v>
      </c>
      <c r="G35" s="5" t="n">
        <v>70</v>
      </c>
      <c r="H35" s="5" t="n">
        <v>65</v>
      </c>
      <c r="I35" s="5" t="s">
        <v>294</v>
      </c>
      <c r="J35" s="6" t="n">
        <v>85.3</v>
      </c>
      <c r="K35" s="5" t="n">
        <f aca="false">IF(H35="","",H35-G35)</f>
        <v>-5</v>
      </c>
      <c r="L35" s="8" t="s">
        <v>295</v>
      </c>
    </row>
    <row r="36" customFormat="false" ht="15" hidden="false" customHeight="false" outlineLevel="0" collapsed="false">
      <c r="A36" s="5" t="n">
        <v>35</v>
      </c>
      <c r="B36" s="5" t="n">
        <v>5</v>
      </c>
      <c r="C36" s="6" t="s">
        <v>290</v>
      </c>
      <c r="D36" s="7" t="s">
        <v>296</v>
      </c>
      <c r="E36" s="5" t="s">
        <v>20</v>
      </c>
      <c r="F36" s="5" t="n">
        <v>8</v>
      </c>
      <c r="G36" s="5" t="n">
        <v>71</v>
      </c>
      <c r="H36" s="5" t="n">
        <v>77</v>
      </c>
      <c r="I36" s="5" t="s">
        <v>297</v>
      </c>
      <c r="J36" s="6" t="n">
        <v>56.9</v>
      </c>
      <c r="K36" s="5" t="n">
        <f aca="false">IF(H36="","",H36-G36)</f>
        <v>6</v>
      </c>
      <c r="L36" s="8" t="s">
        <v>298</v>
      </c>
    </row>
    <row r="37" customFormat="false" ht="15" hidden="false" customHeight="false" outlineLevel="0" collapsed="false">
      <c r="A37" s="5" t="n">
        <v>36</v>
      </c>
      <c r="B37" s="5" t="n">
        <v>5</v>
      </c>
      <c r="C37" s="6" t="s">
        <v>290</v>
      </c>
      <c r="D37" s="7" t="s">
        <v>299</v>
      </c>
      <c r="E37" s="5" t="s">
        <v>98</v>
      </c>
      <c r="F37" s="5" t="n">
        <v>9</v>
      </c>
      <c r="G37" s="5" t="n">
        <v>73</v>
      </c>
      <c r="H37" s="5" t="n">
        <v>66</v>
      </c>
      <c r="I37" s="5" t="s">
        <v>300</v>
      </c>
      <c r="J37" s="6" t="n">
        <v>93.4</v>
      </c>
      <c r="K37" s="5" t="n">
        <f aca="false">IF(H37="","",H37-G37)</f>
        <v>-7</v>
      </c>
      <c r="L37" s="8" t="s">
        <v>301</v>
      </c>
    </row>
    <row r="38" customFormat="false" ht="15" hidden="false" customHeight="false" outlineLevel="0" collapsed="false">
      <c r="A38" s="5" t="n">
        <v>37</v>
      </c>
      <c r="B38" s="5" t="n">
        <v>5</v>
      </c>
      <c r="C38" s="6" t="s">
        <v>290</v>
      </c>
      <c r="D38" s="7" t="s">
        <v>302</v>
      </c>
      <c r="E38" s="5" t="s">
        <v>94</v>
      </c>
      <c r="F38" s="5" t="n">
        <v>7</v>
      </c>
      <c r="G38" s="5" t="n">
        <v>77</v>
      </c>
      <c r="H38" s="5" t="n">
        <v>81</v>
      </c>
      <c r="I38" s="5" t="s">
        <v>303</v>
      </c>
      <c r="J38" s="6" t="n">
        <v>106</v>
      </c>
      <c r="K38" s="5" t="n">
        <f aca="false">IF(H38="","",H38-G38)</f>
        <v>4</v>
      </c>
      <c r="L38" s="6"/>
    </row>
    <row r="39" customFormat="false" ht="15" hidden="false" customHeight="false" outlineLevel="0" collapsed="false">
      <c r="A39" s="5" t="n">
        <v>38</v>
      </c>
      <c r="B39" s="5" t="n">
        <v>5</v>
      </c>
      <c r="C39" s="6" t="s">
        <v>290</v>
      </c>
      <c r="D39" s="7" t="s">
        <v>304</v>
      </c>
      <c r="E39" s="5" t="s">
        <v>116</v>
      </c>
      <c r="F39" s="5" t="n">
        <v>11</v>
      </c>
      <c r="G39" s="5" t="n">
        <v>78</v>
      </c>
      <c r="H39" s="5" t="n">
        <v>78</v>
      </c>
      <c r="I39" s="5" t="s">
        <v>305</v>
      </c>
      <c r="J39" s="6" t="n">
        <v>109.1</v>
      </c>
      <c r="K39" s="5" t="n">
        <f aca="false">IF(H39="","",H39-G39)</f>
        <v>0</v>
      </c>
      <c r="L39" s="8" t="s">
        <v>306</v>
      </c>
    </row>
    <row r="40" customFormat="false" ht="15" hidden="false" customHeight="false" outlineLevel="0" collapsed="false">
      <c r="A40" s="5" t="n">
        <v>39</v>
      </c>
      <c r="B40" s="5" t="n">
        <v>5</v>
      </c>
      <c r="C40" s="6" t="s">
        <v>290</v>
      </c>
      <c r="D40" s="7" t="s">
        <v>307</v>
      </c>
      <c r="E40" s="5" t="s">
        <v>24</v>
      </c>
      <c r="F40" s="5" t="n">
        <v>13</v>
      </c>
      <c r="G40" s="5" t="n">
        <v>82</v>
      </c>
      <c r="H40" s="5" t="n">
        <v>70</v>
      </c>
      <c r="I40" s="5" t="s">
        <v>308</v>
      </c>
      <c r="J40" s="6" t="n">
        <v>100.6</v>
      </c>
      <c r="K40" s="5" t="n">
        <f aca="false">IF(H40="","",H40-G40)</f>
        <v>-12</v>
      </c>
      <c r="L40" s="8" t="s">
        <v>309</v>
      </c>
    </row>
    <row r="41" customFormat="false" ht="15" hidden="false" customHeight="false" outlineLevel="0" collapsed="false">
      <c r="A41" s="5" t="n">
        <v>40</v>
      </c>
      <c r="B41" s="5" t="n">
        <v>5</v>
      </c>
      <c r="C41" s="6" t="s">
        <v>290</v>
      </c>
      <c r="D41" s="7" t="s">
        <v>310</v>
      </c>
      <c r="E41" s="5" t="s">
        <v>64</v>
      </c>
      <c r="F41" s="5" t="n">
        <v>14</v>
      </c>
      <c r="G41" s="5" t="n">
        <v>83</v>
      </c>
      <c r="H41" s="5" t="n">
        <v>80</v>
      </c>
      <c r="I41" s="5" t="s">
        <v>311</v>
      </c>
      <c r="J41" s="6" t="n">
        <v>91.7</v>
      </c>
      <c r="K41" s="5" t="n">
        <f aca="false">IF(H41="","",H41-G41)</f>
        <v>-3</v>
      </c>
      <c r="L41" s="8" t="s">
        <v>238</v>
      </c>
    </row>
    <row r="42" customFormat="false" ht="15" hidden="false" customHeight="false" outlineLevel="0" collapsed="false">
      <c r="A42" s="5" t="n">
        <v>41</v>
      </c>
      <c r="B42" s="5" t="n">
        <v>5</v>
      </c>
      <c r="C42" s="6" t="s">
        <v>290</v>
      </c>
      <c r="D42" s="7" t="s">
        <v>312</v>
      </c>
      <c r="E42" s="5" t="s">
        <v>38</v>
      </c>
      <c r="F42" s="5" t="n">
        <v>7</v>
      </c>
      <c r="G42" s="5" t="n">
        <v>86</v>
      </c>
      <c r="H42" s="5" t="n">
        <v>113</v>
      </c>
      <c r="I42" s="5" t="s">
        <v>313</v>
      </c>
      <c r="J42" s="6" t="n">
        <v>83.6</v>
      </c>
      <c r="K42" s="5" t="n">
        <f aca="false">IF(H42="","",H42-G42)</f>
        <v>27</v>
      </c>
      <c r="L42" s="8" t="s">
        <v>314</v>
      </c>
    </row>
    <row r="43" customFormat="false" ht="15" hidden="false" customHeight="false" outlineLevel="0" collapsed="false">
      <c r="A43" s="5" t="n">
        <v>42</v>
      </c>
      <c r="B43" s="5" t="n">
        <v>5</v>
      </c>
      <c r="C43" s="6" t="s">
        <v>290</v>
      </c>
      <c r="D43" s="7" t="s">
        <v>315</v>
      </c>
      <c r="E43" s="5" t="s">
        <v>24</v>
      </c>
      <c r="F43" s="5" t="n">
        <v>13</v>
      </c>
      <c r="G43" s="5" t="n">
        <v>87</v>
      </c>
      <c r="H43" s="5" t="n">
        <v>124</v>
      </c>
      <c r="I43" s="5" t="s">
        <v>316</v>
      </c>
      <c r="J43" s="6" t="n">
        <v>92</v>
      </c>
      <c r="K43" s="5" t="n">
        <f aca="false">IF(H43="","",H43-G43)</f>
        <v>37</v>
      </c>
      <c r="L43" s="8" t="s">
        <v>317</v>
      </c>
    </row>
    <row r="44" customFormat="false" ht="15" hidden="false" customHeight="false" outlineLevel="0" collapsed="false">
      <c r="A44" s="5" t="n">
        <v>43</v>
      </c>
      <c r="B44" s="5" t="n">
        <v>5</v>
      </c>
      <c r="C44" s="6" t="s">
        <v>290</v>
      </c>
      <c r="D44" s="7" t="s">
        <v>318</v>
      </c>
      <c r="E44" s="5" t="s">
        <v>116</v>
      </c>
      <c r="F44" s="5" t="n">
        <v>11</v>
      </c>
      <c r="G44" s="5" t="n">
        <v>88</v>
      </c>
      <c r="H44" s="5" t="n">
        <v>92</v>
      </c>
      <c r="I44" s="5" t="s">
        <v>319</v>
      </c>
      <c r="J44" s="6" t="n">
        <v>92.7</v>
      </c>
      <c r="K44" s="5" t="n">
        <f aca="false">IF(H44="","",H44-G44)</f>
        <v>4</v>
      </c>
      <c r="L44" s="6"/>
    </row>
    <row r="45" customFormat="false" ht="15" hidden="false" customHeight="false" outlineLevel="0" collapsed="false">
      <c r="A45" s="5" t="n">
        <v>44</v>
      </c>
      <c r="B45" s="5" t="n">
        <v>5</v>
      </c>
      <c r="C45" s="6" t="s">
        <v>290</v>
      </c>
      <c r="D45" s="7" t="s">
        <v>320</v>
      </c>
      <c r="E45" s="5" t="s">
        <v>141</v>
      </c>
      <c r="F45" s="5" t="n">
        <v>6</v>
      </c>
      <c r="G45" s="5" t="n">
        <v>89</v>
      </c>
      <c r="H45" s="5" t="n">
        <v>89</v>
      </c>
      <c r="I45" s="5" t="s">
        <v>321</v>
      </c>
      <c r="J45" s="6" t="n">
        <v>98.3</v>
      </c>
      <c r="K45" s="5" t="n">
        <f aca="false">IF(H45="","",H45-G45)</f>
        <v>0</v>
      </c>
      <c r="L45" s="6"/>
    </row>
    <row r="46" customFormat="false" ht="15" hidden="false" customHeight="false" outlineLevel="0" collapsed="false">
      <c r="A46" s="2" t="n">
        <v>45</v>
      </c>
      <c r="B46" s="2" t="n">
        <v>6</v>
      </c>
      <c r="C46" s="3" t="s">
        <v>322</v>
      </c>
      <c r="D46" s="4" t="s">
        <v>323</v>
      </c>
      <c r="E46" s="2" t="s">
        <v>84</v>
      </c>
      <c r="F46" s="2" t="n">
        <v>10</v>
      </c>
      <c r="G46" s="2" t="n">
        <v>90</v>
      </c>
      <c r="H46" s="2" t="n">
        <v>127</v>
      </c>
      <c r="I46" s="2" t="s">
        <v>324</v>
      </c>
      <c r="J46" s="3" t="n">
        <v>79.6</v>
      </c>
      <c r="K46" s="2" t="n">
        <f aca="false">IF(H46="","",H46-G46)</f>
        <v>37</v>
      </c>
      <c r="L46" s="8" t="s">
        <v>325</v>
      </c>
    </row>
    <row r="47" customFormat="false" ht="15" hidden="false" customHeight="false" outlineLevel="0" collapsed="false">
      <c r="A47" s="5" t="n">
        <v>46</v>
      </c>
      <c r="B47" s="5" t="n">
        <v>6</v>
      </c>
      <c r="C47" s="6" t="s">
        <v>322</v>
      </c>
      <c r="D47" s="7" t="s">
        <v>326</v>
      </c>
      <c r="E47" s="5" t="s">
        <v>35</v>
      </c>
      <c r="F47" s="5" t="n">
        <v>10</v>
      </c>
      <c r="G47" s="5" t="n">
        <v>100</v>
      </c>
      <c r="H47" s="5" t="n">
        <v>126</v>
      </c>
      <c r="I47" s="5" t="s">
        <v>327</v>
      </c>
      <c r="J47" s="6" t="n">
        <v>96.4</v>
      </c>
      <c r="K47" s="5" t="n">
        <f aca="false">IF(H47="","",H47-G47)</f>
        <v>26</v>
      </c>
      <c r="L47" s="8" t="s">
        <v>328</v>
      </c>
    </row>
    <row r="48" customFormat="false" ht="15" hidden="false" customHeight="false" outlineLevel="0" collapsed="false">
      <c r="A48" s="5" t="n">
        <v>47</v>
      </c>
      <c r="B48" s="5" t="n">
        <v>6</v>
      </c>
      <c r="C48" s="6" t="s">
        <v>322</v>
      </c>
      <c r="D48" s="7" t="s">
        <v>329</v>
      </c>
      <c r="E48" s="5" t="s">
        <v>138</v>
      </c>
      <c r="F48" s="5" t="n">
        <v>7</v>
      </c>
      <c r="G48" s="5" t="n">
        <v>101</v>
      </c>
      <c r="H48" s="5" t="n">
        <v>114</v>
      </c>
      <c r="I48" s="5" t="s">
        <v>330</v>
      </c>
      <c r="J48" s="6" t="n">
        <v>102</v>
      </c>
      <c r="K48" s="5" t="n">
        <f aca="false">IF(H48="","",H48-G48)</f>
        <v>13</v>
      </c>
      <c r="L48" s="8" t="s">
        <v>331</v>
      </c>
    </row>
    <row r="49" customFormat="false" ht="15" hidden="false" customHeight="false" outlineLevel="0" collapsed="false">
      <c r="A49" s="5" t="n">
        <v>48</v>
      </c>
      <c r="B49" s="5" t="n">
        <v>6</v>
      </c>
      <c r="C49" s="6" t="s">
        <v>322</v>
      </c>
      <c r="D49" s="7" t="s">
        <v>332</v>
      </c>
      <c r="E49" s="5" t="s">
        <v>49</v>
      </c>
      <c r="F49" s="5" t="n">
        <v>5</v>
      </c>
      <c r="G49" s="5" t="n">
        <v>102</v>
      </c>
      <c r="H49" s="5" t="n">
        <v>112</v>
      </c>
      <c r="I49" s="5" t="s">
        <v>333</v>
      </c>
      <c r="J49" s="6" t="n">
        <v>117.7</v>
      </c>
      <c r="K49" s="5" t="n">
        <f aca="false">IF(H49="","",H49-G49)</f>
        <v>10</v>
      </c>
      <c r="L49" s="6"/>
    </row>
    <row r="50" customFormat="false" ht="15" hidden="false" customHeight="false" outlineLevel="0" collapsed="false">
      <c r="A50" s="5" t="n">
        <v>49</v>
      </c>
      <c r="B50" s="5" t="n">
        <v>6</v>
      </c>
      <c r="C50" s="6" t="s">
        <v>322</v>
      </c>
      <c r="D50" s="7" t="s">
        <v>334</v>
      </c>
      <c r="E50" s="5" t="s">
        <v>32</v>
      </c>
      <c r="F50" s="5" t="n">
        <v>7</v>
      </c>
      <c r="G50" s="5" t="n">
        <v>103</v>
      </c>
      <c r="H50" s="5" t="n">
        <v>91</v>
      </c>
      <c r="I50" s="5" t="s">
        <v>335</v>
      </c>
      <c r="J50" s="6" t="n">
        <v>124.4</v>
      </c>
      <c r="K50" s="5" t="n">
        <f aca="false">IF(H50="","",H50-G50)</f>
        <v>-12</v>
      </c>
      <c r="L50" s="8" t="s">
        <v>336</v>
      </c>
    </row>
    <row r="51" customFormat="false" ht="15" hidden="false" customHeight="false" outlineLevel="0" collapsed="false">
      <c r="A51" s="5" t="n">
        <v>50</v>
      </c>
      <c r="B51" s="5" t="n">
        <v>6</v>
      </c>
      <c r="C51" s="6" t="s">
        <v>322</v>
      </c>
      <c r="D51" s="7" t="s">
        <v>337</v>
      </c>
      <c r="E51" s="5" t="s">
        <v>20</v>
      </c>
      <c r="F51" s="5" t="n">
        <v>8</v>
      </c>
      <c r="G51" s="5" t="n">
        <v>104</v>
      </c>
      <c r="H51" s="5" t="n">
        <v>128</v>
      </c>
      <c r="I51" s="5" t="s">
        <v>338</v>
      </c>
      <c r="J51" s="6" t="n">
        <v>134.6</v>
      </c>
      <c r="K51" s="5" t="n">
        <f aca="false">IF(H51="","",H51-G51)</f>
        <v>24</v>
      </c>
      <c r="L51" s="8" t="s">
        <v>339</v>
      </c>
    </row>
    <row r="52" customFormat="false" ht="15" hidden="false" customHeight="false" outlineLevel="0" collapsed="false">
      <c r="A52" s="5" t="n">
        <v>51</v>
      </c>
      <c r="B52" s="5" t="n">
        <v>6</v>
      </c>
      <c r="C52" s="6" t="s">
        <v>322</v>
      </c>
      <c r="D52" s="7" t="s">
        <v>340</v>
      </c>
      <c r="E52" s="5" t="s">
        <v>103</v>
      </c>
      <c r="F52" s="5" t="n">
        <v>11</v>
      </c>
      <c r="G52" s="5" t="n">
        <v>105</v>
      </c>
      <c r="H52" s="5" t="n">
        <v>131</v>
      </c>
      <c r="I52" s="5" t="s">
        <v>341</v>
      </c>
      <c r="J52" s="6"/>
      <c r="K52" s="5" t="n">
        <f aca="false">IF(H52="","",H52-G52)</f>
        <v>26</v>
      </c>
      <c r="L52" s="6"/>
    </row>
    <row r="53" customFormat="false" ht="15" hidden="false" customHeight="false" outlineLevel="0" collapsed="false">
      <c r="A53" s="5" t="n">
        <v>52</v>
      </c>
      <c r="B53" s="5" t="n">
        <v>6</v>
      </c>
      <c r="C53" s="6" t="s">
        <v>322</v>
      </c>
      <c r="D53" s="7" t="s">
        <v>342</v>
      </c>
      <c r="E53" s="5" t="s">
        <v>107</v>
      </c>
      <c r="F53" s="5" t="n">
        <v>11</v>
      </c>
      <c r="G53" s="5" t="n">
        <v>106</v>
      </c>
      <c r="H53" s="5" t="n">
        <v>129</v>
      </c>
      <c r="I53" s="5" t="s">
        <v>343</v>
      </c>
      <c r="J53" s="6" t="n">
        <v>123.6</v>
      </c>
      <c r="K53" s="5" t="n">
        <f aca="false">IF(H53="","",H53-G53)</f>
        <v>23</v>
      </c>
      <c r="L53" s="6"/>
    </row>
    <row r="54" customFormat="false" ht="15" hidden="false" customHeight="false" outlineLevel="0" collapsed="false">
      <c r="A54" s="5" t="n">
        <v>53</v>
      </c>
      <c r="B54" s="5" t="n">
        <v>6</v>
      </c>
      <c r="C54" s="6" t="s">
        <v>322</v>
      </c>
      <c r="D54" s="7" t="s">
        <v>344</v>
      </c>
      <c r="E54" s="5" t="s">
        <v>120</v>
      </c>
      <c r="F54" s="5" t="n">
        <v>5</v>
      </c>
      <c r="G54" s="5" t="n">
        <v>107</v>
      </c>
      <c r="H54" s="5" t="n">
        <v>130</v>
      </c>
      <c r="I54" s="5" t="s">
        <v>345</v>
      </c>
      <c r="J54" s="6"/>
      <c r="K54" s="5" t="n">
        <f aca="false">IF(H54="","",H54-G54)</f>
        <v>23</v>
      </c>
      <c r="L54" s="8" t="s">
        <v>346</v>
      </c>
    </row>
    <row r="55" customFormat="false" ht="15" hidden="false" customHeight="false" outlineLevel="0" collapsed="false">
      <c r="A55" s="5" t="n">
        <v>54</v>
      </c>
      <c r="B55" s="5" t="n">
        <v>6</v>
      </c>
      <c r="C55" s="6" t="s">
        <v>322</v>
      </c>
      <c r="D55" s="7" t="s">
        <v>347</v>
      </c>
      <c r="E55" s="5" t="s">
        <v>76</v>
      </c>
      <c r="F55" s="5" t="n">
        <v>11</v>
      </c>
      <c r="G55" s="5" t="n">
        <v>108</v>
      </c>
      <c r="H55" s="5" t="n">
        <v>125</v>
      </c>
      <c r="I55" s="5" t="s">
        <v>348</v>
      </c>
      <c r="J55" s="6" t="n">
        <v>119.6</v>
      </c>
      <c r="K55" s="5" t="n">
        <f aca="false">IF(H55="","",H55-G55)</f>
        <v>17</v>
      </c>
      <c r="L55" s="6"/>
    </row>
    <row r="56" customFormat="false" ht="15" hidden="false" customHeight="false" outlineLevel="0" collapsed="false">
      <c r="A56" s="5" t="n">
        <v>55</v>
      </c>
      <c r="B56" s="5" t="n">
        <v>6</v>
      </c>
      <c r="C56" s="6" t="s">
        <v>322</v>
      </c>
      <c r="D56" s="7" t="s">
        <v>349</v>
      </c>
      <c r="E56" s="5" t="s">
        <v>110</v>
      </c>
      <c r="F56" s="5" t="n">
        <v>9</v>
      </c>
      <c r="G56" s="5" t="n">
        <v>139</v>
      </c>
      <c r="H56" s="5" t="n">
        <v>88</v>
      </c>
      <c r="I56" s="5" t="s">
        <v>350</v>
      </c>
      <c r="J56" s="6" t="n">
        <v>99</v>
      </c>
      <c r="K56" s="5" t="n">
        <f aca="false">IF(H56="","",H56-G56)</f>
        <v>-51</v>
      </c>
      <c r="L56" s="6"/>
    </row>
    <row r="57" customFormat="false" ht="15" hidden="false" customHeight="false" outlineLevel="0" collapsed="false">
      <c r="A57" s="5" t="n">
        <v>56</v>
      </c>
      <c r="B57" s="5" t="n">
        <v>6</v>
      </c>
      <c r="C57" s="6" t="s">
        <v>322</v>
      </c>
      <c r="D57" s="7" t="s">
        <v>351</v>
      </c>
      <c r="E57" s="5" t="s">
        <v>20</v>
      </c>
      <c r="F57" s="5" t="n">
        <v>8</v>
      </c>
      <c r="G57" s="5" t="n">
        <v>140</v>
      </c>
      <c r="H57" s="5" t="n">
        <v>90</v>
      </c>
      <c r="I57" s="5" t="s">
        <v>352</v>
      </c>
      <c r="J57" s="6" t="n">
        <v>137.7</v>
      </c>
      <c r="K57" s="5" t="n">
        <f aca="false">IF(H57="","",H57-G57)</f>
        <v>-50</v>
      </c>
      <c r="L57" s="8" t="s">
        <v>353</v>
      </c>
    </row>
    <row r="58" customFormat="false" ht="15" hidden="false" customHeight="false" outlineLevel="0" collapsed="false">
      <c r="A58" s="5" t="n">
        <v>57</v>
      </c>
      <c r="B58" s="5" t="n">
        <v>6</v>
      </c>
      <c r="C58" s="6" t="s">
        <v>322</v>
      </c>
      <c r="D58" s="7" t="s">
        <v>354</v>
      </c>
      <c r="E58" s="5" t="s">
        <v>76</v>
      </c>
      <c r="F58" s="5" t="n">
        <v>11</v>
      </c>
      <c r="G58" s="5" t="n">
        <v>141</v>
      </c>
      <c r="H58" s="5" t="n">
        <v>144</v>
      </c>
      <c r="I58" s="5" t="s">
        <v>355</v>
      </c>
      <c r="J58" s="6"/>
      <c r="K58" s="5" t="n">
        <f aca="false">IF(H58="","",H58-G58)</f>
        <v>3</v>
      </c>
      <c r="L58" s="6"/>
    </row>
    <row r="59" customFormat="false" ht="15" hidden="false" customHeight="false" outlineLevel="0" collapsed="false">
      <c r="A59" s="5" t="n">
        <v>58</v>
      </c>
      <c r="B59" s="5" t="n">
        <v>6</v>
      </c>
      <c r="C59" s="6" t="s">
        <v>322</v>
      </c>
      <c r="D59" s="7" t="s">
        <v>356</v>
      </c>
      <c r="E59" s="5" t="s">
        <v>110</v>
      </c>
      <c r="F59" s="5" t="n">
        <v>9</v>
      </c>
      <c r="G59" s="5" t="n">
        <v>142</v>
      </c>
      <c r="H59" s="5" t="n">
        <v>145</v>
      </c>
      <c r="I59" s="5" t="s">
        <v>357</v>
      </c>
      <c r="J59" s="6"/>
      <c r="K59" s="5" t="n">
        <f aca="false">IF(H59="","",H59-G59)</f>
        <v>3</v>
      </c>
      <c r="L59" s="6"/>
    </row>
    <row r="60" customFormat="false" ht="15" hidden="false" customHeight="false" outlineLevel="0" collapsed="false">
      <c r="A60" s="2" t="n">
        <v>59</v>
      </c>
      <c r="B60" s="2" t="n">
        <v>7</v>
      </c>
      <c r="C60" s="3" t="s">
        <v>358</v>
      </c>
      <c r="D60" s="4" t="s">
        <v>359</v>
      </c>
      <c r="E60" s="2" t="s">
        <v>76</v>
      </c>
      <c r="F60" s="2" t="n">
        <v>11</v>
      </c>
      <c r="G60" s="2" t="n">
        <v>143</v>
      </c>
      <c r="H60" s="2" t="n">
        <v>143</v>
      </c>
      <c r="I60" s="2" t="s">
        <v>360</v>
      </c>
      <c r="J60" s="3"/>
      <c r="K60" s="2" t="n">
        <f aca="false">IF(H60="","",H60-G60)</f>
        <v>0</v>
      </c>
      <c r="L60" s="3"/>
    </row>
    <row r="61" customFormat="false" ht="15" hidden="false" customHeight="false" outlineLevel="0" collapsed="false">
      <c r="A61" s="5" t="n">
        <v>60</v>
      </c>
      <c r="B61" s="5" t="n">
        <v>7</v>
      </c>
      <c r="C61" s="6" t="s">
        <v>358</v>
      </c>
      <c r="D61" s="7" t="s">
        <v>361</v>
      </c>
      <c r="E61" s="5" t="s">
        <v>84</v>
      </c>
      <c r="F61" s="5" t="n">
        <v>10</v>
      </c>
      <c r="G61" s="5" t="n">
        <v>144</v>
      </c>
      <c r="H61" s="5" t="n">
        <v>132</v>
      </c>
      <c r="I61" s="5" t="s">
        <v>362</v>
      </c>
      <c r="J61" s="6"/>
      <c r="K61" s="5" t="n">
        <f aca="false">IF(H61="","",H61-G61)</f>
        <v>-12</v>
      </c>
      <c r="L61" s="6"/>
    </row>
    <row r="62" customFormat="false" ht="15" hidden="false" customHeight="false" outlineLevel="0" collapsed="false">
      <c r="A62" s="5" t="n">
        <v>61</v>
      </c>
      <c r="B62" s="5" t="n">
        <v>7</v>
      </c>
      <c r="C62" s="6" t="s">
        <v>358</v>
      </c>
      <c r="D62" s="7" t="s">
        <v>363</v>
      </c>
      <c r="E62" s="5" t="s">
        <v>73</v>
      </c>
      <c r="F62" s="5" t="n">
        <v>8</v>
      </c>
      <c r="G62" s="5" t="n">
        <v>145</v>
      </c>
      <c r="H62" s="5" t="n">
        <v>151</v>
      </c>
      <c r="I62" s="5" t="s">
        <v>364</v>
      </c>
      <c r="J62" s="6"/>
      <c r="K62" s="5" t="n">
        <f aca="false">IF(H62="","",H62-G62)</f>
        <v>6</v>
      </c>
      <c r="L62" s="8" t="s">
        <v>365</v>
      </c>
    </row>
    <row r="63" customFormat="false" ht="15" hidden="false" customHeight="false" outlineLevel="0" collapsed="false">
      <c r="A63" s="5" t="n">
        <v>62</v>
      </c>
      <c r="B63" s="5" t="n">
        <v>7</v>
      </c>
      <c r="C63" s="6" t="s">
        <v>358</v>
      </c>
      <c r="D63" s="7" t="s">
        <v>366</v>
      </c>
      <c r="E63" s="5" t="s">
        <v>68</v>
      </c>
      <c r="F63" s="5" t="n">
        <v>13</v>
      </c>
      <c r="G63" s="5" t="n">
        <v>146</v>
      </c>
      <c r="H63" s="5" t="n">
        <v>146</v>
      </c>
      <c r="I63" s="5" t="s">
        <v>367</v>
      </c>
      <c r="J63" s="6"/>
      <c r="K63" s="5" t="n">
        <f aca="false">IF(H63="","",H63-G63)</f>
        <v>0</v>
      </c>
      <c r="L63" s="6"/>
    </row>
    <row r="64" customFormat="false" ht="15" hidden="false" customHeight="false" outlineLevel="0" collapsed="false">
      <c r="A64" s="5" t="n">
        <v>63</v>
      </c>
      <c r="B64" s="5" t="n">
        <v>7</v>
      </c>
      <c r="C64" s="6" t="s">
        <v>358</v>
      </c>
      <c r="D64" s="7" t="s">
        <v>368</v>
      </c>
      <c r="E64" s="5" t="s">
        <v>53</v>
      </c>
      <c r="F64" s="5" t="n">
        <v>13</v>
      </c>
      <c r="G64" s="5" t="n">
        <v>147</v>
      </c>
      <c r="H64" s="5" t="n">
        <v>152</v>
      </c>
      <c r="I64" s="5" t="s">
        <v>369</v>
      </c>
      <c r="J64" s="6"/>
      <c r="K64" s="5" t="n">
        <f aca="false">IF(H64="","",H64-G64)</f>
        <v>5</v>
      </c>
      <c r="L64" s="6"/>
    </row>
    <row r="65" customFormat="false" ht="15" hidden="false" customHeight="false" outlineLevel="0" collapsed="false">
      <c r="A65" s="5" t="n">
        <v>64</v>
      </c>
      <c r="B65" s="5" t="n">
        <v>7</v>
      </c>
      <c r="C65" s="6" t="s">
        <v>358</v>
      </c>
      <c r="D65" s="7" t="s">
        <v>370</v>
      </c>
      <c r="E65" s="5" t="s">
        <v>53</v>
      </c>
      <c r="F65" s="5" t="n">
        <v>13</v>
      </c>
      <c r="G65" s="5" t="n">
        <v>148</v>
      </c>
      <c r="H65" s="5" t="n">
        <v>153</v>
      </c>
      <c r="I65" s="5" t="s">
        <v>371</v>
      </c>
      <c r="J65" s="6"/>
      <c r="K65" s="5" t="n">
        <f aca="false">IF(H65="","",H65-G65)</f>
        <v>5</v>
      </c>
      <c r="L65" s="8" t="s">
        <v>372</v>
      </c>
    </row>
    <row r="66" customFormat="false" ht="15" hidden="false" customHeight="false" outlineLevel="0" collapsed="false">
      <c r="A66" s="5" t="n">
        <v>65</v>
      </c>
      <c r="B66" s="5" t="n">
        <v>7</v>
      </c>
      <c r="C66" s="6" t="s">
        <v>358</v>
      </c>
      <c r="D66" s="7" t="s">
        <v>373</v>
      </c>
      <c r="E66" s="5" t="s">
        <v>28</v>
      </c>
      <c r="F66" s="5" t="n">
        <v>6</v>
      </c>
      <c r="G66" s="5" t="n">
        <v>149</v>
      </c>
      <c r="H66" s="5" t="n">
        <v>148</v>
      </c>
      <c r="I66" s="5" t="s">
        <v>374</v>
      </c>
      <c r="J66" s="6"/>
      <c r="K66" s="5" t="n">
        <f aca="false">IF(H66="","",H66-G66)</f>
        <v>-1</v>
      </c>
      <c r="L66" s="6"/>
    </row>
    <row r="67" customFormat="false" ht="15" hidden="false" customHeight="false" outlineLevel="0" collapsed="false">
      <c r="A67" s="5" t="n">
        <v>66</v>
      </c>
      <c r="B67" s="5" t="n">
        <v>7</v>
      </c>
      <c r="C67" s="6" t="s">
        <v>358</v>
      </c>
      <c r="D67" s="7" t="s">
        <v>375</v>
      </c>
      <c r="E67" s="5" t="s">
        <v>24</v>
      </c>
      <c r="F67" s="5" t="n">
        <v>13</v>
      </c>
      <c r="G67" s="5" t="n">
        <v>152</v>
      </c>
      <c r="H67" s="5" t="n">
        <v>161</v>
      </c>
      <c r="I67" s="5" t="s">
        <v>376</v>
      </c>
      <c r="J67" s="6"/>
      <c r="K67" s="5" t="n">
        <f aca="false">IF(H67="","",H67-G67)</f>
        <v>9</v>
      </c>
      <c r="L67" s="8" t="s">
        <v>377</v>
      </c>
    </row>
    <row r="68" customFormat="false" ht="15" hidden="false" customHeight="false" outlineLevel="0" collapsed="false">
      <c r="A68" s="5" t="n">
        <v>67</v>
      </c>
      <c r="B68" s="5" t="n">
        <v>7</v>
      </c>
      <c r="C68" s="6" t="s">
        <v>358</v>
      </c>
      <c r="D68" s="7" t="s">
        <v>378</v>
      </c>
      <c r="E68" s="5" t="s">
        <v>90</v>
      </c>
      <c r="F68" s="5" t="n">
        <v>8</v>
      </c>
      <c r="G68" s="5" t="n">
        <v>160</v>
      </c>
      <c r="H68" s="5" t="n">
        <v>202</v>
      </c>
      <c r="I68" s="5" t="s">
        <v>379</v>
      </c>
      <c r="J68" s="6"/>
      <c r="K68" s="5" t="n">
        <f aca="false">IF(H68="","",H68-G68)</f>
        <v>42</v>
      </c>
      <c r="L68" s="8" t="s">
        <v>380</v>
      </c>
    </row>
    <row r="69" customFormat="false" ht="15" hidden="false" customHeight="false" outlineLevel="0" collapsed="false">
      <c r="A69" s="5" t="n">
        <v>68</v>
      </c>
      <c r="B69" s="5" t="n">
        <v>7</v>
      </c>
      <c r="C69" s="6" t="s">
        <v>358</v>
      </c>
      <c r="D69" s="7" t="s">
        <v>381</v>
      </c>
      <c r="E69" s="5" t="s">
        <v>103</v>
      </c>
      <c r="F69" s="5" t="n">
        <v>11</v>
      </c>
      <c r="G69" s="5" t="n">
        <v>170</v>
      </c>
      <c r="H69" s="5" t="n">
        <v>227</v>
      </c>
      <c r="I69" s="5" t="s">
        <v>382</v>
      </c>
      <c r="J69" s="6"/>
      <c r="K69" s="5" t="n">
        <f aca="false">IF(H69="","",H69-G69)</f>
        <v>57</v>
      </c>
      <c r="L69" s="6"/>
    </row>
    <row r="70" customFormat="false" ht="15" hidden="false" customHeight="false" outlineLevel="0" collapsed="false">
      <c r="A70" s="5" t="n">
        <v>69</v>
      </c>
      <c r="B70" s="5" t="n">
        <v>7</v>
      </c>
      <c r="C70" s="6" t="s">
        <v>358</v>
      </c>
      <c r="D70" s="7" t="s">
        <v>383</v>
      </c>
      <c r="E70" s="5" t="s">
        <v>94</v>
      </c>
      <c r="F70" s="5" t="n">
        <v>7</v>
      </c>
      <c r="G70" s="5" t="n">
        <v>171</v>
      </c>
      <c r="H70" s="5" t="n">
        <v>147</v>
      </c>
      <c r="I70" s="5" t="s">
        <v>384</v>
      </c>
      <c r="J70" s="6" t="n">
        <v>203.9</v>
      </c>
      <c r="K70" s="5" t="n">
        <f aca="false">IF(H70="","",H70-G70)</f>
        <v>-24</v>
      </c>
      <c r="L70" s="8" t="s">
        <v>385</v>
      </c>
    </row>
    <row r="71" customFormat="false" ht="15" hidden="false" customHeight="false" outlineLevel="0" collapsed="false">
      <c r="A71" s="5" t="n">
        <v>70</v>
      </c>
      <c r="B71" s="5" t="n">
        <v>7</v>
      </c>
      <c r="C71" s="6" t="s">
        <v>358</v>
      </c>
      <c r="D71" s="7" t="s">
        <v>386</v>
      </c>
      <c r="E71" s="5" t="s">
        <v>42</v>
      </c>
      <c r="F71" s="5" t="n">
        <v>13</v>
      </c>
      <c r="G71" s="5" t="n">
        <v>172</v>
      </c>
      <c r="H71" s="5" t="n">
        <v>162</v>
      </c>
      <c r="I71" s="5" t="s">
        <v>387</v>
      </c>
      <c r="J71" s="6"/>
      <c r="K71" s="5" t="n">
        <f aca="false">IF(H71="","",H71-G71)</f>
        <v>-10</v>
      </c>
      <c r="L71" s="6"/>
    </row>
    <row r="72" customFormat="false" ht="15" hidden="false" customHeight="false" outlineLevel="0" collapsed="false">
      <c r="A72" s="5" t="n">
        <v>71</v>
      </c>
      <c r="B72" s="5" t="n">
        <v>7</v>
      </c>
      <c r="C72" s="6" t="s">
        <v>358</v>
      </c>
      <c r="D72" s="7" t="s">
        <v>388</v>
      </c>
      <c r="E72" s="5" t="s">
        <v>90</v>
      </c>
      <c r="F72" s="5" t="n">
        <v>8</v>
      </c>
      <c r="G72" s="5" t="n">
        <v>173</v>
      </c>
      <c r="H72" s="5" t="n">
        <v>165</v>
      </c>
      <c r="I72" s="5" t="s">
        <v>389</v>
      </c>
      <c r="J72" s="6"/>
      <c r="K72" s="5" t="n">
        <f aca="false">IF(H72="","",H72-G72)</f>
        <v>-8</v>
      </c>
      <c r="L72" s="6"/>
    </row>
    <row r="73" customFormat="false" ht="15" hidden="false" customHeight="false" outlineLevel="0" collapsed="false">
      <c r="A73" s="5" t="n">
        <v>72</v>
      </c>
      <c r="B73" s="5" t="n">
        <v>7</v>
      </c>
      <c r="C73" s="6" t="s">
        <v>358</v>
      </c>
      <c r="D73" s="7" t="s">
        <v>390</v>
      </c>
      <c r="E73" s="5" t="s">
        <v>35</v>
      </c>
      <c r="F73" s="5" t="n">
        <v>10</v>
      </c>
      <c r="G73" s="5" t="n">
        <v>174</v>
      </c>
      <c r="H73" s="5" t="n">
        <v>163</v>
      </c>
      <c r="I73" s="5" t="s">
        <v>391</v>
      </c>
      <c r="J73" s="6"/>
      <c r="K73" s="5" t="n">
        <f aca="false">IF(H73="","",H73-G73)</f>
        <v>-11</v>
      </c>
      <c r="L73" s="6"/>
    </row>
    <row r="74" customFormat="false" ht="15" hidden="false" customHeight="false" outlineLevel="0" collapsed="false">
      <c r="A74" s="5" t="n">
        <v>73</v>
      </c>
      <c r="B74" s="5" t="n">
        <v>7</v>
      </c>
      <c r="C74" s="6" t="s">
        <v>358</v>
      </c>
      <c r="D74" s="7" t="s">
        <v>392</v>
      </c>
      <c r="E74" s="5" t="s">
        <v>73</v>
      </c>
      <c r="F74" s="5" t="n">
        <v>8</v>
      </c>
      <c r="G74" s="5" t="n">
        <v>175</v>
      </c>
      <c r="H74" s="5" t="n">
        <v>164</v>
      </c>
      <c r="I74" s="5" t="s">
        <v>393</v>
      </c>
      <c r="J74" s="6"/>
      <c r="K74" s="5" t="n">
        <f aca="false">IF(H74="","",H74-G74)</f>
        <v>-11</v>
      </c>
      <c r="L74" s="6"/>
    </row>
  </sheetData>
  <autoFilter ref="A1:L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394</v>
      </c>
      <c r="D2" s="4" t="s">
        <v>395</v>
      </c>
      <c r="E2" s="2" t="s">
        <v>53</v>
      </c>
      <c r="F2" s="2" t="n">
        <v>13</v>
      </c>
      <c r="G2" s="2" t="n">
        <v>13</v>
      </c>
      <c r="H2" s="2" t="n">
        <v>21</v>
      </c>
      <c r="I2" s="2" t="s">
        <v>396</v>
      </c>
      <c r="J2" s="3" t="n">
        <v>18.2</v>
      </c>
      <c r="K2" s="2" t="n">
        <f aca="false">IF(H2="","",H2-G2)</f>
        <v>8</v>
      </c>
      <c r="L2" s="8" t="s">
        <v>397</v>
      </c>
    </row>
    <row r="3" customFormat="false" ht="15" hidden="false" customHeight="false" outlineLevel="0" collapsed="false">
      <c r="A3" s="5" t="n">
        <v>2</v>
      </c>
      <c r="B3" s="5" t="n">
        <v>1</v>
      </c>
      <c r="C3" s="6" t="s">
        <v>394</v>
      </c>
      <c r="D3" s="7" t="s">
        <v>398</v>
      </c>
      <c r="E3" s="5" t="s">
        <v>64</v>
      </c>
      <c r="F3" s="5" t="n">
        <v>14</v>
      </c>
      <c r="G3" s="5" t="n">
        <v>25</v>
      </c>
      <c r="H3" s="5" t="n">
        <v>20</v>
      </c>
      <c r="I3" s="5" t="s">
        <v>399</v>
      </c>
      <c r="J3" s="6" t="n">
        <v>28.2</v>
      </c>
      <c r="K3" s="5" t="n">
        <f aca="false">IF(H3="","",H3-G3)</f>
        <v>-5</v>
      </c>
      <c r="L3" s="8" t="s">
        <v>400</v>
      </c>
    </row>
    <row r="4" customFormat="false" ht="15" hidden="false" customHeight="false" outlineLevel="0" collapsed="false">
      <c r="A4" s="2" t="n">
        <v>3</v>
      </c>
      <c r="B4" s="2" t="n">
        <v>2</v>
      </c>
      <c r="C4" s="3" t="s">
        <v>401</v>
      </c>
      <c r="D4" s="4" t="s">
        <v>402</v>
      </c>
      <c r="E4" s="2" t="s">
        <v>87</v>
      </c>
      <c r="F4" s="2" t="n">
        <v>10</v>
      </c>
      <c r="G4" s="2" t="n">
        <v>47</v>
      </c>
      <c r="H4" s="2" t="n">
        <v>49</v>
      </c>
      <c r="I4" s="2" t="s">
        <v>403</v>
      </c>
      <c r="J4" s="3" t="n">
        <v>41.1</v>
      </c>
      <c r="K4" s="2" t="n">
        <f aca="false">IF(H4="","",H4-G4)</f>
        <v>2</v>
      </c>
      <c r="L4" s="8" t="s">
        <v>404</v>
      </c>
    </row>
    <row r="5" customFormat="false" ht="15" hidden="false" customHeight="false" outlineLevel="0" collapsed="false">
      <c r="A5" s="5" t="n">
        <v>4</v>
      </c>
      <c r="B5" s="5" t="n">
        <v>2</v>
      </c>
      <c r="C5" s="6" t="s">
        <v>401</v>
      </c>
      <c r="D5" s="7" t="s">
        <v>405</v>
      </c>
      <c r="E5" s="5" t="s">
        <v>24</v>
      </c>
      <c r="F5" s="5" t="n">
        <v>13</v>
      </c>
      <c r="G5" s="5" t="n">
        <v>53</v>
      </c>
      <c r="H5" s="5" t="n">
        <v>50</v>
      </c>
      <c r="I5" s="5" t="s">
        <v>406</v>
      </c>
      <c r="J5" s="6" t="n">
        <v>60</v>
      </c>
      <c r="K5" s="5" t="n">
        <f aca="false">IF(H5="","",H5-G5)</f>
        <v>-3</v>
      </c>
      <c r="L5" s="8" t="s">
        <v>407</v>
      </c>
    </row>
    <row r="6" customFormat="false" ht="15" hidden="false" customHeight="false" outlineLevel="0" collapsed="false">
      <c r="A6" s="5" t="n">
        <v>5</v>
      </c>
      <c r="B6" s="5" t="n">
        <v>2</v>
      </c>
      <c r="C6" s="6" t="s">
        <v>401</v>
      </c>
      <c r="D6" s="7" t="s">
        <v>408</v>
      </c>
      <c r="E6" s="5" t="s">
        <v>17</v>
      </c>
      <c r="F6" s="5" t="n">
        <v>11</v>
      </c>
      <c r="G6" s="5" t="n">
        <v>65</v>
      </c>
      <c r="H6" s="5" t="n">
        <v>71</v>
      </c>
      <c r="I6" s="5" t="s">
        <v>409</v>
      </c>
      <c r="J6" s="6" t="n">
        <v>85.9</v>
      </c>
      <c r="K6" s="5" t="n">
        <f aca="false">IF(H6="","",H6-G6)</f>
        <v>6</v>
      </c>
      <c r="L6" s="8" t="s">
        <v>410</v>
      </c>
    </row>
    <row r="7" customFormat="false" ht="15" hidden="false" customHeight="false" outlineLevel="0" collapsed="false">
      <c r="A7" s="2" t="n">
        <v>6</v>
      </c>
      <c r="B7" s="2" t="n">
        <v>3</v>
      </c>
      <c r="C7" s="3" t="s">
        <v>411</v>
      </c>
      <c r="D7" s="4" t="s">
        <v>412</v>
      </c>
      <c r="E7" s="2" t="s">
        <v>76</v>
      </c>
      <c r="F7" s="2" t="n">
        <v>11</v>
      </c>
      <c r="G7" s="2" t="n">
        <v>66</v>
      </c>
      <c r="H7" s="2" t="n">
        <v>72</v>
      </c>
      <c r="I7" s="2" t="s">
        <v>413</v>
      </c>
      <c r="J7" s="3" t="n">
        <v>83.4</v>
      </c>
      <c r="K7" s="2" t="n">
        <f aca="false">IF(H7="","",H7-G7)</f>
        <v>6</v>
      </c>
      <c r="L7" s="8" t="s">
        <v>414</v>
      </c>
    </row>
    <row r="8" customFormat="false" ht="15" hidden="false" customHeight="false" outlineLevel="0" collapsed="false">
      <c r="A8" s="5" t="n">
        <v>7</v>
      </c>
      <c r="B8" s="5" t="n">
        <v>3</v>
      </c>
      <c r="C8" s="6" t="s">
        <v>411</v>
      </c>
      <c r="D8" s="7" t="s">
        <v>415</v>
      </c>
      <c r="E8" s="5" t="s">
        <v>14</v>
      </c>
      <c r="F8" s="5" t="n">
        <v>6</v>
      </c>
      <c r="G8" s="5" t="n">
        <v>67</v>
      </c>
      <c r="H8" s="5" t="n">
        <v>73</v>
      </c>
      <c r="I8" s="5" t="s">
        <v>416</v>
      </c>
      <c r="J8" s="6" t="n">
        <v>78.4</v>
      </c>
      <c r="K8" s="5" t="n">
        <f aca="false">IF(H8="","",H8-G8)</f>
        <v>6</v>
      </c>
      <c r="L8" s="6"/>
    </row>
    <row r="9" customFormat="false" ht="15" hidden="false" customHeight="false" outlineLevel="0" collapsed="false">
      <c r="A9" s="5" t="n">
        <v>8</v>
      </c>
      <c r="B9" s="5" t="n">
        <v>3</v>
      </c>
      <c r="C9" s="6" t="s">
        <v>411</v>
      </c>
      <c r="D9" s="7" t="s">
        <v>417</v>
      </c>
      <c r="E9" s="5" t="s">
        <v>116</v>
      </c>
      <c r="F9" s="5" t="n">
        <v>11</v>
      </c>
      <c r="G9" s="5" t="n">
        <v>74</v>
      </c>
      <c r="H9" s="5" t="n">
        <v>102</v>
      </c>
      <c r="I9" s="5" t="s">
        <v>418</v>
      </c>
      <c r="J9" s="6" t="n">
        <v>78.9</v>
      </c>
      <c r="K9" s="5" t="n">
        <f aca="false">IF(H9="","",H9-G9)</f>
        <v>28</v>
      </c>
      <c r="L9" s="8" t="s">
        <v>419</v>
      </c>
    </row>
    <row r="10" customFormat="false" ht="15" hidden="false" customHeight="false" outlineLevel="0" collapsed="false">
      <c r="A10" s="5" t="n">
        <v>9</v>
      </c>
      <c r="B10" s="5" t="n">
        <v>3</v>
      </c>
      <c r="C10" s="6" t="s">
        <v>411</v>
      </c>
      <c r="D10" s="7" t="s">
        <v>420</v>
      </c>
      <c r="E10" s="5" t="s">
        <v>20</v>
      </c>
      <c r="F10" s="5" t="n">
        <v>8</v>
      </c>
      <c r="G10" s="5" t="n">
        <v>112</v>
      </c>
      <c r="H10" s="5" t="n">
        <v>101</v>
      </c>
      <c r="I10" s="5" t="s">
        <v>421</v>
      </c>
      <c r="J10" s="6" t="n">
        <v>108.3</v>
      </c>
      <c r="K10" s="5" t="n">
        <f aca="false">IF(H10="","",H10-G10)</f>
        <v>-11</v>
      </c>
      <c r="L10" s="8" t="s">
        <v>422</v>
      </c>
    </row>
    <row r="11" customFormat="false" ht="15" hidden="false" customHeight="false" outlineLevel="0" collapsed="false">
      <c r="A11" s="2" t="n">
        <v>10</v>
      </c>
      <c r="B11" s="2" t="n">
        <v>4</v>
      </c>
      <c r="C11" s="3" t="s">
        <v>423</v>
      </c>
      <c r="D11" s="4" t="s">
        <v>424</v>
      </c>
      <c r="E11" s="2" t="s">
        <v>57</v>
      </c>
      <c r="F11" s="2" t="n">
        <v>14</v>
      </c>
      <c r="G11" s="2" t="n">
        <v>116</v>
      </c>
      <c r="H11" s="2" t="n">
        <v>109</v>
      </c>
      <c r="I11" s="2" t="s">
        <v>425</v>
      </c>
      <c r="J11" s="3" t="n">
        <v>128.6</v>
      </c>
      <c r="K11" s="2" t="n">
        <f aca="false">IF(H11="","",H11-G11)</f>
        <v>-7</v>
      </c>
      <c r="L11" s="8" t="s">
        <v>238</v>
      </c>
    </row>
    <row r="12" customFormat="false" ht="15" hidden="false" customHeight="false" outlineLevel="0" collapsed="false">
      <c r="A12" s="5" t="n">
        <v>11</v>
      </c>
      <c r="B12" s="5" t="n">
        <v>4</v>
      </c>
      <c r="C12" s="6" t="s">
        <v>423</v>
      </c>
      <c r="D12" s="7" t="s">
        <v>426</v>
      </c>
      <c r="E12" s="5" t="s">
        <v>80</v>
      </c>
      <c r="F12" s="5" t="n">
        <v>8</v>
      </c>
      <c r="G12" s="5" t="n">
        <v>117</v>
      </c>
      <c r="H12" s="5" t="n">
        <v>111</v>
      </c>
      <c r="I12" s="5" t="s">
        <v>427</v>
      </c>
      <c r="J12" s="6" t="n">
        <v>125.1</v>
      </c>
      <c r="K12" s="5" t="n">
        <f aca="false">IF(H12="","",H12-G12)</f>
        <v>-6</v>
      </c>
      <c r="L12" s="6"/>
    </row>
    <row r="13" customFormat="false" ht="15" hidden="false" customHeight="false" outlineLevel="0" collapsed="false">
      <c r="A13" s="5" t="n">
        <v>12</v>
      </c>
      <c r="B13" s="5" t="n">
        <v>4</v>
      </c>
      <c r="C13" s="6" t="s">
        <v>423</v>
      </c>
      <c r="D13" s="7" t="s">
        <v>428</v>
      </c>
      <c r="E13" s="5" t="s">
        <v>32</v>
      </c>
      <c r="F13" s="5" t="n">
        <v>7</v>
      </c>
      <c r="G13" s="5" t="n">
        <v>118</v>
      </c>
      <c r="H13" s="5" t="n">
        <v>116</v>
      </c>
      <c r="I13" s="5" t="s">
        <v>429</v>
      </c>
      <c r="J13" s="6" t="n">
        <v>121</v>
      </c>
      <c r="K13" s="5" t="n">
        <f aca="false">IF(H13="","",H13-G13)</f>
        <v>-2</v>
      </c>
      <c r="L13" s="6"/>
    </row>
    <row r="14" customFormat="false" ht="15" hidden="false" customHeight="false" outlineLevel="0" collapsed="false">
      <c r="A14" s="5" t="n">
        <v>13</v>
      </c>
      <c r="B14" s="5" t="n">
        <v>4</v>
      </c>
      <c r="C14" s="6" t="s">
        <v>423</v>
      </c>
      <c r="D14" s="7" t="s">
        <v>430</v>
      </c>
      <c r="E14" s="5" t="s">
        <v>42</v>
      </c>
      <c r="F14" s="5" t="n">
        <v>13</v>
      </c>
      <c r="G14" s="5" t="n">
        <v>119</v>
      </c>
      <c r="H14" s="5" t="n">
        <v>110</v>
      </c>
      <c r="I14" s="5" t="s">
        <v>431</v>
      </c>
      <c r="J14" s="6" t="n">
        <v>137</v>
      </c>
      <c r="K14" s="5" t="n">
        <f aca="false">IF(H14="","",H14-G14)</f>
        <v>-9</v>
      </c>
      <c r="L14" s="8" t="s">
        <v>432</v>
      </c>
    </row>
    <row r="15" customFormat="false" ht="15" hidden="false" customHeight="false" outlineLevel="0" collapsed="false">
      <c r="A15" s="5" t="n">
        <v>14</v>
      </c>
      <c r="B15" s="5" t="n">
        <v>4</v>
      </c>
      <c r="C15" s="6" t="s">
        <v>423</v>
      </c>
      <c r="D15" s="7" t="s">
        <v>433</v>
      </c>
      <c r="E15" s="5" t="s">
        <v>49</v>
      </c>
      <c r="F15" s="5" t="n">
        <v>5</v>
      </c>
      <c r="G15" s="5" t="n">
        <v>120</v>
      </c>
      <c r="H15" s="5" t="n">
        <v>104</v>
      </c>
      <c r="I15" s="5" t="s">
        <v>434</v>
      </c>
      <c r="J15" s="6" t="n">
        <v>120.2</v>
      </c>
      <c r="K15" s="5" t="n">
        <f aca="false">IF(H15="","",H15-G15)</f>
        <v>-16</v>
      </c>
      <c r="L15" s="8" t="s">
        <v>435</v>
      </c>
    </row>
    <row r="16" customFormat="false" ht="15" hidden="false" customHeight="false" outlineLevel="0" collapsed="false">
      <c r="A16" s="2" t="n">
        <v>15</v>
      </c>
      <c r="B16" s="2" t="n">
        <v>5</v>
      </c>
      <c r="C16" s="3" t="s">
        <v>436</v>
      </c>
      <c r="D16" s="4" t="s">
        <v>437</v>
      </c>
      <c r="E16" s="2" t="s">
        <v>35</v>
      </c>
      <c r="F16" s="2" t="n">
        <v>10</v>
      </c>
      <c r="G16" s="2" t="n">
        <v>121</v>
      </c>
      <c r="H16" s="2" t="n">
        <v>103</v>
      </c>
      <c r="I16" s="2" t="s">
        <v>438</v>
      </c>
      <c r="J16" s="3" t="n">
        <v>136.5</v>
      </c>
      <c r="K16" s="2" t="n">
        <f aca="false">IF(H16="","",H16-G16)</f>
        <v>-18</v>
      </c>
      <c r="L16" s="8" t="s">
        <v>439</v>
      </c>
    </row>
    <row r="17" customFormat="false" ht="15" hidden="false" customHeight="false" outlineLevel="0" collapsed="false">
      <c r="A17" s="5" t="n">
        <v>16</v>
      </c>
      <c r="B17" s="5" t="n">
        <v>5</v>
      </c>
      <c r="C17" s="6" t="s">
        <v>436</v>
      </c>
      <c r="D17" s="7" t="s">
        <v>440</v>
      </c>
      <c r="E17" s="5" t="s">
        <v>68</v>
      </c>
      <c r="F17" s="5" t="n">
        <v>13</v>
      </c>
      <c r="G17" s="5" t="n">
        <v>161</v>
      </c>
      <c r="H17" s="5" t="n">
        <v>159</v>
      </c>
      <c r="I17" s="5" t="s">
        <v>441</v>
      </c>
      <c r="J17" s="6" t="n">
        <v>194</v>
      </c>
      <c r="K17" s="5" t="n">
        <f aca="false">IF(H17="","",H17-G17)</f>
        <v>-2</v>
      </c>
      <c r="L17" s="8" t="s">
        <v>442</v>
      </c>
    </row>
    <row r="18" customFormat="false" ht="15" hidden="false" customHeight="false" outlineLevel="0" collapsed="false">
      <c r="A18" s="5" t="n">
        <v>17</v>
      </c>
      <c r="B18" s="5" t="n">
        <v>5</v>
      </c>
      <c r="C18" s="6" t="s">
        <v>436</v>
      </c>
      <c r="D18" s="7" t="s">
        <v>443</v>
      </c>
      <c r="E18" s="5" t="s">
        <v>94</v>
      </c>
      <c r="F18" s="5" t="n">
        <v>7</v>
      </c>
      <c r="G18" s="5" t="n">
        <v>162</v>
      </c>
      <c r="H18" s="5" t="n">
        <v>194</v>
      </c>
      <c r="I18" s="5" t="s">
        <v>444</v>
      </c>
      <c r="J18" s="6"/>
      <c r="K18" s="5" t="n">
        <f aca="false">IF(H18="","",H18-G18)</f>
        <v>32</v>
      </c>
      <c r="L18" s="6"/>
    </row>
    <row r="19" customFormat="false" ht="15" hidden="false" customHeight="false" outlineLevel="0" collapsed="false">
      <c r="A19" s="5" t="n">
        <v>18</v>
      </c>
      <c r="B19" s="5" t="n">
        <v>5</v>
      </c>
      <c r="C19" s="6" t="s">
        <v>436</v>
      </c>
      <c r="D19" s="7" t="s">
        <v>445</v>
      </c>
      <c r="E19" s="5" t="s">
        <v>138</v>
      </c>
      <c r="F19" s="5" t="n">
        <v>7</v>
      </c>
      <c r="G19" s="5" t="n">
        <v>163</v>
      </c>
      <c r="H19" s="5" t="n">
        <v>216</v>
      </c>
      <c r="I19" s="5" t="s">
        <v>446</v>
      </c>
      <c r="J19" s="6"/>
      <c r="K19" s="5" t="n">
        <f aca="false">IF(H19="","",H19-G19)</f>
        <v>53</v>
      </c>
      <c r="L19" s="8" t="s">
        <v>447</v>
      </c>
    </row>
    <row r="20" customFormat="false" ht="15" hidden="false" customHeight="false" outlineLevel="0" collapsed="false">
      <c r="A20" s="5" t="n">
        <v>19</v>
      </c>
      <c r="B20" s="5" t="n">
        <v>5</v>
      </c>
      <c r="C20" s="6" t="s">
        <v>436</v>
      </c>
      <c r="D20" s="7" t="s">
        <v>448</v>
      </c>
      <c r="E20" s="5" t="s">
        <v>141</v>
      </c>
      <c r="F20" s="5" t="n">
        <v>6</v>
      </c>
      <c r="G20" s="5" t="n">
        <v>164</v>
      </c>
      <c r="H20" s="5" t="n">
        <v>117</v>
      </c>
      <c r="I20" s="5" t="s">
        <v>449</v>
      </c>
      <c r="J20" s="6" t="n">
        <v>169</v>
      </c>
      <c r="K20" s="5" t="n">
        <f aca="false">IF(H20="","",H20-G20)</f>
        <v>-47</v>
      </c>
      <c r="L20" s="8" t="s">
        <v>450</v>
      </c>
    </row>
    <row r="21" customFormat="false" ht="15" hidden="false" customHeight="false" outlineLevel="0" collapsed="false">
      <c r="A21" s="5" t="n">
        <v>20</v>
      </c>
      <c r="B21" s="5" t="n">
        <v>5</v>
      </c>
      <c r="C21" s="6" t="s">
        <v>436</v>
      </c>
      <c r="D21" s="7" t="s">
        <v>451</v>
      </c>
      <c r="E21" s="5" t="s">
        <v>107</v>
      </c>
      <c r="F21" s="5" t="n">
        <v>11</v>
      </c>
      <c r="G21" s="5" t="n">
        <v>165</v>
      </c>
      <c r="H21" s="5" t="n">
        <v>118</v>
      </c>
      <c r="I21" s="5" t="s">
        <v>452</v>
      </c>
      <c r="J21" s="6" t="n">
        <v>173.5</v>
      </c>
      <c r="K21" s="5" t="n">
        <f aca="false">IF(H21="","",H21-G21)</f>
        <v>-47</v>
      </c>
      <c r="L21" s="8" t="s">
        <v>453</v>
      </c>
    </row>
    <row r="22" customFormat="false" ht="15" hidden="false" customHeight="false" outlineLevel="0" collapsed="false">
      <c r="A22" s="5" t="n">
        <v>21</v>
      </c>
      <c r="B22" s="5" t="n">
        <v>5</v>
      </c>
      <c r="C22" s="6" t="s">
        <v>436</v>
      </c>
      <c r="D22" s="7" t="s">
        <v>454</v>
      </c>
      <c r="E22" s="5" t="s">
        <v>61</v>
      </c>
      <c r="F22" s="5" t="n">
        <v>11</v>
      </c>
      <c r="G22" s="5" t="n">
        <v>166</v>
      </c>
      <c r="H22" s="5" t="n">
        <v>119</v>
      </c>
      <c r="I22" s="5" t="s">
        <v>455</v>
      </c>
      <c r="J22" s="6" t="n">
        <v>188</v>
      </c>
      <c r="K22" s="5" t="n">
        <f aca="false">IF(H22="","",H22-G22)</f>
        <v>-47</v>
      </c>
      <c r="L22" s="8" t="s">
        <v>456</v>
      </c>
    </row>
    <row r="23" customFormat="false" ht="15" hidden="false" customHeight="false" outlineLevel="0" collapsed="false">
      <c r="A23" s="5" t="n">
        <v>22</v>
      </c>
      <c r="B23" s="5" t="n">
        <v>5</v>
      </c>
      <c r="C23" s="6" t="s">
        <v>436</v>
      </c>
      <c r="D23" s="7" t="s">
        <v>457</v>
      </c>
      <c r="E23" s="5" t="s">
        <v>73</v>
      </c>
      <c r="F23" s="5" t="n">
        <v>8</v>
      </c>
      <c r="G23" s="5" t="n">
        <v>167</v>
      </c>
      <c r="H23" s="5" t="n">
        <v>160</v>
      </c>
      <c r="I23" s="5" t="s">
        <v>458</v>
      </c>
      <c r="J23" s="6" t="n">
        <v>155.2</v>
      </c>
      <c r="K23" s="5" t="n">
        <f aca="false">IF(H23="","",H23-G23)</f>
        <v>-7</v>
      </c>
      <c r="L23" s="8" t="s">
        <v>459</v>
      </c>
    </row>
  </sheetData>
  <autoFilter ref="A1:L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460</v>
      </c>
      <c r="D2" s="4" t="s">
        <v>461</v>
      </c>
      <c r="E2" s="2" t="s">
        <v>32</v>
      </c>
      <c r="F2" s="2" t="n">
        <v>7</v>
      </c>
      <c r="G2" s="2" t="n">
        <v>50</v>
      </c>
      <c r="H2" s="2" t="n">
        <v>36</v>
      </c>
      <c r="I2" s="2" t="s">
        <v>462</v>
      </c>
      <c r="J2" s="3" t="n">
        <v>30.5</v>
      </c>
      <c r="K2" s="2" t="n">
        <f aca="false">IF(H2="","",H2-G2)</f>
        <v>-14</v>
      </c>
      <c r="L2" s="8" t="s">
        <v>463</v>
      </c>
    </row>
    <row r="3" customFormat="false" ht="15" hidden="false" customHeight="false" outlineLevel="0" collapsed="false">
      <c r="A3" s="2" t="n">
        <v>2</v>
      </c>
      <c r="B3" s="2" t="n">
        <v>2</v>
      </c>
      <c r="C3" s="3" t="s">
        <v>464</v>
      </c>
      <c r="D3" s="4" t="s">
        <v>465</v>
      </c>
      <c r="E3" s="2" t="s">
        <v>42</v>
      </c>
      <c r="F3" s="2" t="n">
        <v>13</v>
      </c>
      <c r="G3" s="2" t="n">
        <v>93</v>
      </c>
      <c r="H3" s="2" t="n">
        <v>56</v>
      </c>
      <c r="I3" s="2" t="s">
        <v>466</v>
      </c>
      <c r="J3" s="3" t="n">
        <v>52.2</v>
      </c>
      <c r="K3" s="2" t="n">
        <f aca="false">IF(H3="","",H3-G3)</f>
        <v>-37</v>
      </c>
      <c r="L3" s="3"/>
    </row>
    <row r="4" customFormat="false" ht="15" hidden="false" customHeight="false" outlineLevel="0" collapsed="false">
      <c r="A4" s="5" t="n">
        <v>3</v>
      </c>
      <c r="B4" s="5" t="n">
        <v>2</v>
      </c>
      <c r="C4" s="6" t="s">
        <v>464</v>
      </c>
      <c r="D4" s="7" t="s">
        <v>467</v>
      </c>
      <c r="E4" s="5" t="s">
        <v>107</v>
      </c>
      <c r="F4" s="5" t="n">
        <v>11</v>
      </c>
      <c r="G4" s="5" t="n">
        <v>94</v>
      </c>
      <c r="H4" s="5" t="n">
        <v>57</v>
      </c>
      <c r="I4" s="5" t="s">
        <v>468</v>
      </c>
      <c r="J4" s="6" t="n">
        <v>64.6</v>
      </c>
      <c r="K4" s="5" t="n">
        <f aca="false">IF(H4="","",H4-G4)</f>
        <v>-37</v>
      </c>
      <c r="L4" s="6"/>
    </row>
    <row r="5" customFormat="false" ht="15" hidden="false" customHeight="false" outlineLevel="0" collapsed="false">
      <c r="A5" s="5" t="n">
        <v>4</v>
      </c>
      <c r="B5" s="5" t="n">
        <v>2</v>
      </c>
      <c r="C5" s="6" t="s">
        <v>464</v>
      </c>
      <c r="D5" s="7" t="s">
        <v>469</v>
      </c>
      <c r="E5" s="5" t="s">
        <v>46</v>
      </c>
      <c r="F5" s="5" t="n">
        <v>6</v>
      </c>
      <c r="G5" s="5" t="n">
        <v>95</v>
      </c>
      <c r="H5" s="5" t="n">
        <v>74</v>
      </c>
      <c r="I5" s="5" t="s">
        <v>470</v>
      </c>
      <c r="J5" s="6" t="n">
        <v>64.5</v>
      </c>
      <c r="K5" s="5" t="n">
        <f aca="false">IF(H5="","",H5-G5)</f>
        <v>-21</v>
      </c>
      <c r="L5" s="6"/>
    </row>
    <row r="6" customFormat="false" ht="15" hidden="false" customHeight="false" outlineLevel="0" collapsed="false">
      <c r="A6" s="5" t="n">
        <v>5</v>
      </c>
      <c r="B6" s="5" t="n">
        <v>2</v>
      </c>
      <c r="C6" s="6" t="s">
        <v>464</v>
      </c>
      <c r="D6" s="7" t="s">
        <v>471</v>
      </c>
      <c r="E6" s="5" t="s">
        <v>138</v>
      </c>
      <c r="F6" s="5" t="n">
        <v>7</v>
      </c>
      <c r="G6" s="5" t="n">
        <v>96</v>
      </c>
      <c r="H6" s="5" t="n">
        <v>55</v>
      </c>
      <c r="I6" s="5" t="s">
        <v>472</v>
      </c>
      <c r="J6" s="6" t="n">
        <v>73.4</v>
      </c>
      <c r="K6" s="5" t="n">
        <f aca="false">IF(H6="","",H6-G6)</f>
        <v>-41</v>
      </c>
      <c r="L6" s="8" t="s">
        <v>473</v>
      </c>
    </row>
    <row r="7" customFormat="false" ht="15" hidden="false" customHeight="false" outlineLevel="0" collapsed="false">
      <c r="A7" s="2" t="n">
        <v>6</v>
      </c>
      <c r="B7" s="2" t="n">
        <v>3</v>
      </c>
      <c r="C7" s="3" t="s">
        <v>474</v>
      </c>
      <c r="D7" s="4" t="s">
        <v>475</v>
      </c>
      <c r="E7" s="2" t="s">
        <v>35</v>
      </c>
      <c r="F7" s="2" t="n">
        <v>10</v>
      </c>
      <c r="G7" s="2" t="n">
        <v>97</v>
      </c>
      <c r="H7" s="2" t="n">
        <v>58</v>
      </c>
      <c r="I7" s="2" t="s">
        <v>476</v>
      </c>
      <c r="J7" s="3" t="n">
        <v>77.9</v>
      </c>
      <c r="K7" s="2" t="n">
        <f aca="false">IF(H7="","",H7-G7)</f>
        <v>-39</v>
      </c>
      <c r="L7" s="8" t="s">
        <v>477</v>
      </c>
    </row>
    <row r="8" customFormat="false" ht="15" hidden="false" customHeight="false" outlineLevel="0" collapsed="false">
      <c r="A8" s="5" t="n">
        <v>7</v>
      </c>
      <c r="B8" s="5" t="n">
        <v>3</v>
      </c>
      <c r="C8" s="6" t="s">
        <v>474</v>
      </c>
      <c r="D8" s="7" t="s">
        <v>478</v>
      </c>
      <c r="E8" s="5" t="s">
        <v>94</v>
      </c>
      <c r="F8" s="5" t="n">
        <v>7</v>
      </c>
      <c r="G8" s="5" t="n">
        <v>109</v>
      </c>
      <c r="H8" s="5" t="n">
        <v>82</v>
      </c>
      <c r="I8" s="5" t="s">
        <v>479</v>
      </c>
      <c r="J8" s="6" t="n">
        <v>85.1</v>
      </c>
      <c r="K8" s="5" t="n">
        <f aca="false">IF(H8="","",H8-G8)</f>
        <v>-27</v>
      </c>
      <c r="L8" s="8" t="s">
        <v>480</v>
      </c>
    </row>
    <row r="9" customFormat="false" ht="15" hidden="false" customHeight="false" outlineLevel="0" collapsed="false">
      <c r="A9" s="5" t="n">
        <v>8</v>
      </c>
      <c r="B9" s="5" t="n">
        <v>3</v>
      </c>
      <c r="C9" s="6" t="s">
        <v>474</v>
      </c>
      <c r="D9" s="7" t="s">
        <v>481</v>
      </c>
      <c r="E9" s="5" t="s">
        <v>57</v>
      </c>
      <c r="F9" s="5" t="n">
        <v>14</v>
      </c>
      <c r="G9" s="5" t="n">
        <v>110</v>
      </c>
      <c r="H9" s="5" t="n">
        <v>83</v>
      </c>
      <c r="I9" s="5" t="s">
        <v>482</v>
      </c>
      <c r="J9" s="6" t="n">
        <v>83.5</v>
      </c>
      <c r="K9" s="5" t="n">
        <f aca="false">IF(H9="","",H9-G9)</f>
        <v>-27</v>
      </c>
      <c r="L9" s="8" t="s">
        <v>483</v>
      </c>
    </row>
    <row r="10" customFormat="false" ht="15" hidden="false" customHeight="false" outlineLevel="0" collapsed="false">
      <c r="A10" s="5" t="n">
        <v>9</v>
      </c>
      <c r="B10" s="5" t="n">
        <v>3</v>
      </c>
      <c r="C10" s="6" t="s">
        <v>474</v>
      </c>
      <c r="D10" s="7" t="s">
        <v>484</v>
      </c>
      <c r="E10" s="5" t="s">
        <v>87</v>
      </c>
      <c r="F10" s="5" t="n">
        <v>10</v>
      </c>
      <c r="G10" s="5" t="n">
        <v>111</v>
      </c>
      <c r="H10" s="5" t="n">
        <v>87</v>
      </c>
      <c r="I10" s="5" t="s">
        <v>485</v>
      </c>
      <c r="J10" s="6" t="n">
        <v>75.7</v>
      </c>
      <c r="K10" s="5" t="n">
        <f aca="false">IF(H10="","",H10-G10)</f>
        <v>-24</v>
      </c>
      <c r="L10" s="6"/>
    </row>
    <row r="11" customFormat="false" ht="15" hidden="false" customHeight="false" outlineLevel="0" collapsed="false">
      <c r="A11" s="2" t="n">
        <v>10</v>
      </c>
      <c r="B11" s="2" t="n">
        <v>4</v>
      </c>
      <c r="C11" s="3" t="s">
        <v>486</v>
      </c>
      <c r="D11" s="4" t="s">
        <v>487</v>
      </c>
      <c r="E11" s="2" t="s">
        <v>38</v>
      </c>
      <c r="F11" s="2" t="n">
        <v>7</v>
      </c>
      <c r="G11" s="2" t="n">
        <v>122</v>
      </c>
      <c r="H11" s="2" t="n">
        <v>93</v>
      </c>
      <c r="I11" s="2" t="s">
        <v>488</v>
      </c>
      <c r="J11" s="3" t="n">
        <v>87.3</v>
      </c>
      <c r="K11" s="2" t="n">
        <f aca="false">IF(H11="","",H11-G11)</f>
        <v>-29</v>
      </c>
      <c r="L11" s="3"/>
    </row>
    <row r="12" customFormat="false" ht="15" hidden="false" customHeight="false" outlineLevel="0" collapsed="false">
      <c r="A12" s="5" t="n">
        <v>11</v>
      </c>
      <c r="B12" s="5" t="n">
        <v>4</v>
      </c>
      <c r="C12" s="6" t="s">
        <v>486</v>
      </c>
      <c r="D12" s="7" t="s">
        <v>489</v>
      </c>
      <c r="E12" s="5" t="s">
        <v>141</v>
      </c>
      <c r="F12" s="5" t="n">
        <v>6</v>
      </c>
      <c r="G12" s="5" t="n">
        <v>123</v>
      </c>
      <c r="H12" s="5" t="n">
        <v>133</v>
      </c>
      <c r="I12" s="5" t="s">
        <v>490</v>
      </c>
      <c r="J12" s="6" t="n">
        <v>117.7</v>
      </c>
      <c r="K12" s="5" t="n">
        <f aca="false">IF(H12="","",H12-G12)</f>
        <v>10</v>
      </c>
      <c r="L12" s="8" t="s">
        <v>491</v>
      </c>
    </row>
    <row r="13" customFormat="false" ht="15" hidden="false" customHeight="false" outlineLevel="0" collapsed="false">
      <c r="A13" s="5" t="n">
        <v>12</v>
      </c>
      <c r="B13" s="5" t="n">
        <v>4</v>
      </c>
      <c r="C13" s="6" t="s">
        <v>486</v>
      </c>
      <c r="D13" s="7" t="s">
        <v>492</v>
      </c>
      <c r="E13" s="5" t="s">
        <v>14</v>
      </c>
      <c r="F13" s="5" t="n">
        <v>6</v>
      </c>
      <c r="G13" s="5" t="n">
        <v>124</v>
      </c>
      <c r="H13" s="5" t="n">
        <v>135</v>
      </c>
      <c r="I13" s="5" t="s">
        <v>493</v>
      </c>
      <c r="J13" s="6" t="n">
        <v>108.2</v>
      </c>
      <c r="K13" s="5" t="n">
        <f aca="false">IF(H13="","",H13-G13)</f>
        <v>11</v>
      </c>
      <c r="L13" s="8" t="s">
        <v>494</v>
      </c>
    </row>
    <row r="14" customFormat="false" ht="15" hidden="false" customHeight="false" outlineLevel="0" collapsed="false">
      <c r="A14" s="5" t="n">
        <v>13</v>
      </c>
      <c r="B14" s="5" t="n">
        <v>4</v>
      </c>
      <c r="C14" s="6" t="s">
        <v>486</v>
      </c>
      <c r="D14" s="7" t="s">
        <v>495</v>
      </c>
      <c r="E14" s="5" t="s">
        <v>84</v>
      </c>
      <c r="F14" s="5" t="n">
        <v>10</v>
      </c>
      <c r="G14" s="5" t="n">
        <v>125</v>
      </c>
      <c r="H14" s="5" t="n">
        <v>149</v>
      </c>
      <c r="I14" s="5" t="s">
        <v>496</v>
      </c>
      <c r="J14" s="6" t="n">
        <v>126.6</v>
      </c>
      <c r="K14" s="5" t="n">
        <f aca="false">IF(H14="","",H14-G14)</f>
        <v>24</v>
      </c>
      <c r="L14" s="8" t="s">
        <v>497</v>
      </c>
    </row>
    <row r="15" customFormat="false" ht="15" hidden="false" customHeight="false" outlineLevel="0" collapsed="false">
      <c r="A15" s="5" t="n">
        <v>14</v>
      </c>
      <c r="B15" s="5" t="n">
        <v>4</v>
      </c>
      <c r="C15" s="6" t="s">
        <v>486</v>
      </c>
      <c r="D15" s="7" t="s">
        <v>498</v>
      </c>
      <c r="E15" s="5" t="s">
        <v>28</v>
      </c>
      <c r="F15" s="5" t="n">
        <v>6</v>
      </c>
      <c r="G15" s="5" t="n">
        <v>126</v>
      </c>
      <c r="H15" s="5" t="n">
        <v>150</v>
      </c>
      <c r="I15" s="5" t="s">
        <v>499</v>
      </c>
      <c r="J15" s="6" t="n">
        <v>133.4</v>
      </c>
      <c r="K15" s="5" t="n">
        <f aca="false">IF(H15="","",H15-G15)</f>
        <v>24</v>
      </c>
      <c r="L15" s="8" t="s">
        <v>500</v>
      </c>
    </row>
    <row r="16" customFormat="false" ht="15" hidden="false" customHeight="false" outlineLevel="0" collapsed="false">
      <c r="A16" s="2" t="n">
        <v>15</v>
      </c>
      <c r="B16" s="2" t="n">
        <v>5</v>
      </c>
      <c r="C16" s="3" t="s">
        <v>501</v>
      </c>
      <c r="D16" s="4" t="s">
        <v>502</v>
      </c>
      <c r="E16" s="2" t="s">
        <v>61</v>
      </c>
      <c r="F16" s="2" t="n">
        <v>11</v>
      </c>
      <c r="G16" s="2" t="n">
        <v>127</v>
      </c>
      <c r="H16" s="2" t="n">
        <v>86</v>
      </c>
      <c r="I16" s="2" t="s">
        <v>503</v>
      </c>
      <c r="J16" s="3" t="n">
        <v>103.5</v>
      </c>
      <c r="K16" s="2" t="n">
        <f aca="false">IF(H16="","",H16-G16)</f>
        <v>-41</v>
      </c>
      <c r="L16" s="8" t="s">
        <v>504</v>
      </c>
    </row>
    <row r="17" customFormat="false" ht="15" hidden="false" customHeight="false" outlineLevel="0" collapsed="false">
      <c r="A17" s="5" t="n">
        <v>16</v>
      </c>
      <c r="B17" s="5" t="n">
        <v>5</v>
      </c>
      <c r="C17" s="6" t="s">
        <v>501</v>
      </c>
      <c r="D17" s="7" t="s">
        <v>505</v>
      </c>
      <c r="E17" s="5" t="s">
        <v>20</v>
      </c>
      <c r="F17" s="5" t="n">
        <v>8</v>
      </c>
      <c r="G17" s="5" t="n">
        <v>128</v>
      </c>
      <c r="H17" s="5" t="n">
        <v>85</v>
      </c>
      <c r="I17" s="5" t="s">
        <v>506</v>
      </c>
      <c r="J17" s="6" t="n">
        <v>104.5</v>
      </c>
      <c r="K17" s="5" t="n">
        <f aca="false">IF(H17="","",H17-G17)</f>
        <v>-43</v>
      </c>
      <c r="L17" s="8" t="s">
        <v>477</v>
      </c>
    </row>
    <row r="18" customFormat="false" ht="15" hidden="false" customHeight="false" outlineLevel="0" collapsed="false">
      <c r="A18" s="5" t="n">
        <v>17</v>
      </c>
      <c r="B18" s="5" t="n">
        <v>5</v>
      </c>
      <c r="C18" s="6" t="s">
        <v>501</v>
      </c>
      <c r="D18" s="7" t="s">
        <v>507</v>
      </c>
      <c r="E18" s="5" t="s">
        <v>49</v>
      </c>
      <c r="F18" s="5" t="n">
        <v>5</v>
      </c>
      <c r="G18" s="5" t="n">
        <v>129</v>
      </c>
      <c r="H18" s="5" t="n">
        <v>94</v>
      </c>
      <c r="I18" s="5" t="s">
        <v>508</v>
      </c>
      <c r="J18" s="6" t="n">
        <v>107.9</v>
      </c>
      <c r="K18" s="5" t="n">
        <f aca="false">IF(H18="","",H18-G18)</f>
        <v>-35</v>
      </c>
      <c r="L18" s="8" t="s">
        <v>509</v>
      </c>
    </row>
    <row r="19" customFormat="false" ht="15" hidden="false" customHeight="false" outlineLevel="0" collapsed="false">
      <c r="A19" s="5" t="n">
        <v>18</v>
      </c>
      <c r="B19" s="5" t="n">
        <v>5</v>
      </c>
      <c r="C19" s="6" t="s">
        <v>501</v>
      </c>
      <c r="D19" s="7" t="s">
        <v>510</v>
      </c>
      <c r="E19" s="5" t="s">
        <v>80</v>
      </c>
      <c r="F19" s="5" t="n">
        <v>8</v>
      </c>
      <c r="G19" s="5" t="n">
        <v>130</v>
      </c>
      <c r="H19" s="5" t="n">
        <v>75</v>
      </c>
      <c r="I19" s="5" t="s">
        <v>511</v>
      </c>
      <c r="J19" s="6" t="n">
        <v>103.2</v>
      </c>
      <c r="K19" s="5" t="n">
        <f aca="false">IF(H19="","",H19-G19)</f>
        <v>-55</v>
      </c>
      <c r="L19" s="8" t="s">
        <v>512</v>
      </c>
    </row>
    <row r="20" customFormat="false" ht="15" hidden="false" customHeight="false" outlineLevel="0" collapsed="false">
      <c r="A20" s="5" t="n">
        <v>19</v>
      </c>
      <c r="B20" s="5" t="n">
        <v>5</v>
      </c>
      <c r="C20" s="6" t="s">
        <v>501</v>
      </c>
      <c r="D20" s="7" t="s">
        <v>513</v>
      </c>
      <c r="E20" s="5" t="s">
        <v>132</v>
      </c>
      <c r="F20" s="5" t="n">
        <v>10</v>
      </c>
      <c r="G20" s="5" t="n">
        <v>131</v>
      </c>
      <c r="H20" s="5" t="n">
        <v>84</v>
      </c>
      <c r="I20" s="5" t="s">
        <v>514</v>
      </c>
      <c r="J20" s="6" t="n">
        <v>115.8</v>
      </c>
      <c r="K20" s="5" t="n">
        <f aca="false">IF(H20="","",H20-G20)</f>
        <v>-47</v>
      </c>
      <c r="L20" s="8" t="s">
        <v>515</v>
      </c>
    </row>
    <row r="21" customFormat="false" ht="15" hidden="false" customHeight="false" outlineLevel="0" collapsed="false">
      <c r="A21" s="5" t="n">
        <v>20</v>
      </c>
      <c r="B21" s="5" t="n">
        <v>5</v>
      </c>
      <c r="C21" s="6" t="s">
        <v>501</v>
      </c>
      <c r="D21" s="7" t="s">
        <v>516</v>
      </c>
      <c r="E21" s="5" t="s">
        <v>73</v>
      </c>
      <c r="F21" s="5" t="n">
        <v>8</v>
      </c>
      <c r="G21" s="5" t="n">
        <v>176</v>
      </c>
      <c r="H21" s="5" t="n">
        <v>134</v>
      </c>
      <c r="I21" s="5" t="s">
        <v>517</v>
      </c>
      <c r="J21" s="6" t="n">
        <v>129.9</v>
      </c>
      <c r="K21" s="5" t="n">
        <f aca="false">IF(H21="","",H21-G21)</f>
        <v>-42</v>
      </c>
      <c r="L21" s="6"/>
    </row>
    <row r="22" customFormat="false" ht="15" hidden="false" customHeight="false" outlineLevel="0" collapsed="false">
      <c r="A22" s="5" t="n">
        <v>21</v>
      </c>
      <c r="B22" s="5" t="n">
        <v>5</v>
      </c>
      <c r="C22" s="6" t="s">
        <v>501</v>
      </c>
      <c r="D22" s="7" t="s">
        <v>518</v>
      </c>
      <c r="E22" s="5" t="s">
        <v>24</v>
      </c>
      <c r="F22" s="5" t="n">
        <v>13</v>
      </c>
      <c r="G22" s="5" t="n">
        <v>177</v>
      </c>
      <c r="H22" s="5" t="n">
        <v>136</v>
      </c>
      <c r="I22" s="5" t="s">
        <v>519</v>
      </c>
      <c r="J22" s="6" t="n">
        <v>169.7</v>
      </c>
      <c r="K22" s="5" t="n">
        <f aca="false">IF(H22="","",H22-G22)</f>
        <v>-41</v>
      </c>
      <c r="L22" s="8" t="s">
        <v>336</v>
      </c>
    </row>
    <row r="23" customFormat="false" ht="15" hidden="false" customHeight="false" outlineLevel="0" collapsed="false">
      <c r="A23" s="5" t="n">
        <v>22</v>
      </c>
      <c r="B23" s="5" t="n">
        <v>5</v>
      </c>
      <c r="C23" s="6" t="s">
        <v>501</v>
      </c>
      <c r="D23" s="7" t="s">
        <v>520</v>
      </c>
      <c r="E23" s="5" t="s">
        <v>116</v>
      </c>
      <c r="F23" s="5" t="n">
        <v>11</v>
      </c>
      <c r="G23" s="5" t="n">
        <v>178</v>
      </c>
      <c r="H23" s="5" t="n">
        <v>198</v>
      </c>
      <c r="I23" s="5" t="s">
        <v>521</v>
      </c>
      <c r="J23" s="6"/>
      <c r="K23" s="5" t="n">
        <f aca="false">IF(H23="","",H23-G23)</f>
        <v>20</v>
      </c>
      <c r="L23" s="6"/>
    </row>
    <row r="24" customFormat="false" ht="15" hidden="false" customHeight="false" outlineLevel="0" collapsed="false">
      <c r="A24" s="5" t="n">
        <v>23</v>
      </c>
      <c r="B24" s="5" t="n">
        <v>5</v>
      </c>
      <c r="C24" s="6" t="s">
        <v>501</v>
      </c>
      <c r="D24" s="7" t="s">
        <v>522</v>
      </c>
      <c r="E24" s="5" t="s">
        <v>90</v>
      </c>
      <c r="F24" s="5" t="n">
        <v>8</v>
      </c>
      <c r="G24" s="5" t="n">
        <v>179</v>
      </c>
      <c r="H24" s="5" t="n">
        <v>199</v>
      </c>
      <c r="I24" s="5" t="s">
        <v>523</v>
      </c>
      <c r="J24" s="6"/>
      <c r="K24" s="5" t="n">
        <f aca="false">IF(H24="","",H24-G24)</f>
        <v>20</v>
      </c>
      <c r="L24" s="6"/>
    </row>
    <row r="25" customFormat="false" ht="15" hidden="false" customHeight="false" outlineLevel="0" collapsed="false">
      <c r="A25" s="5" t="n">
        <v>24</v>
      </c>
      <c r="B25" s="5" t="n">
        <v>5</v>
      </c>
      <c r="C25" s="6" t="s">
        <v>501</v>
      </c>
      <c r="D25" s="7" t="s">
        <v>524</v>
      </c>
      <c r="E25" s="5" t="s">
        <v>103</v>
      </c>
      <c r="F25" s="5" t="n">
        <v>11</v>
      </c>
      <c r="G25" s="5" t="n">
        <v>180</v>
      </c>
      <c r="H25" s="5" t="n">
        <v>200</v>
      </c>
      <c r="I25" s="5" t="s">
        <v>525</v>
      </c>
      <c r="J25" s="6"/>
      <c r="K25" s="5" t="n">
        <f aca="false">IF(H25="","",H25-G25)</f>
        <v>20</v>
      </c>
      <c r="L25" s="6"/>
    </row>
    <row r="26" customFormat="false" ht="15" hidden="false" customHeight="false" outlineLevel="0" collapsed="false">
      <c r="A26" s="5" t="n">
        <v>25</v>
      </c>
      <c r="B26" s="5" t="n">
        <v>5</v>
      </c>
      <c r="C26" s="6" t="s">
        <v>501</v>
      </c>
      <c r="D26" s="7" t="s">
        <v>526</v>
      </c>
      <c r="E26" s="5" t="s">
        <v>110</v>
      </c>
      <c r="F26" s="5" t="n">
        <v>9</v>
      </c>
      <c r="G26" s="5" t="n">
        <v>181</v>
      </c>
      <c r="H26" s="5" t="n">
        <v>219</v>
      </c>
      <c r="I26" s="5" t="s">
        <v>527</v>
      </c>
      <c r="J26" s="6"/>
      <c r="K26" s="5" t="n">
        <f aca="false">IF(H26="","",H26-G26)</f>
        <v>38</v>
      </c>
      <c r="L26" s="8" t="s">
        <v>528</v>
      </c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4" min="3" style="0" width="26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529</v>
      </c>
      <c r="D2" s="4" t="s">
        <v>530</v>
      </c>
      <c r="E2" s="2" t="s">
        <v>90</v>
      </c>
      <c r="F2" s="2" t="n">
        <v>8</v>
      </c>
      <c r="G2" s="2" t="n">
        <v>182</v>
      </c>
      <c r="H2" s="2" t="n">
        <v>169</v>
      </c>
      <c r="I2" s="2" t="s">
        <v>531</v>
      </c>
      <c r="J2" s="3"/>
      <c r="K2" s="2" t="n">
        <f aca="false">IF(H2="","",H2-G2)</f>
        <v>-13</v>
      </c>
      <c r="L2" s="8" t="s">
        <v>532</v>
      </c>
    </row>
    <row r="3" customFormat="false" ht="15" hidden="false" customHeight="false" outlineLevel="0" collapsed="false">
      <c r="A3" s="5" t="n">
        <v>2</v>
      </c>
      <c r="B3" s="5" t="n">
        <v>1</v>
      </c>
      <c r="C3" s="6" t="s">
        <v>529</v>
      </c>
      <c r="D3" s="7" t="s">
        <v>533</v>
      </c>
      <c r="E3" s="5" t="s">
        <v>132</v>
      </c>
      <c r="F3" s="5" t="n">
        <v>10</v>
      </c>
      <c r="G3" s="5" t="n">
        <v>183</v>
      </c>
      <c r="H3" s="5" t="n">
        <v>170</v>
      </c>
      <c r="I3" s="5" t="s">
        <v>534</v>
      </c>
      <c r="J3" s="6"/>
      <c r="K3" s="5" t="n">
        <f aca="false">IF(H3="","",H3-G3)</f>
        <v>-13</v>
      </c>
      <c r="L3" s="8" t="s">
        <v>535</v>
      </c>
    </row>
    <row r="4" customFormat="false" ht="15" hidden="false" customHeight="false" outlineLevel="0" collapsed="false">
      <c r="A4" s="5" t="n">
        <v>3</v>
      </c>
      <c r="B4" s="5" t="n">
        <v>1</v>
      </c>
      <c r="C4" s="6" t="s">
        <v>529</v>
      </c>
      <c r="D4" s="7" t="s">
        <v>536</v>
      </c>
      <c r="E4" s="5" t="s">
        <v>98</v>
      </c>
      <c r="F4" s="5" t="n">
        <v>9</v>
      </c>
      <c r="G4" s="5" t="n">
        <v>184</v>
      </c>
      <c r="H4" s="5" t="n">
        <v>171</v>
      </c>
      <c r="I4" s="5" t="s">
        <v>537</v>
      </c>
      <c r="J4" s="6"/>
      <c r="K4" s="5" t="n">
        <f aca="false">IF(H4="","",H4-G4)</f>
        <v>-13</v>
      </c>
      <c r="L4" s="8" t="s">
        <v>538</v>
      </c>
    </row>
    <row r="5" customFormat="false" ht="15" hidden="false" customHeight="false" outlineLevel="0" collapsed="false">
      <c r="A5" s="5" t="n">
        <v>4</v>
      </c>
      <c r="B5" s="5" t="n">
        <v>1</v>
      </c>
      <c r="C5" s="6" t="s">
        <v>529</v>
      </c>
      <c r="D5" s="7" t="s">
        <v>539</v>
      </c>
      <c r="E5" s="5" t="s">
        <v>61</v>
      </c>
      <c r="F5" s="5" t="n">
        <v>11</v>
      </c>
      <c r="G5" s="5" t="n">
        <v>185</v>
      </c>
      <c r="H5" s="5" t="n">
        <v>173</v>
      </c>
      <c r="I5" s="5" t="s">
        <v>540</v>
      </c>
      <c r="J5" s="6"/>
      <c r="K5" s="5" t="n">
        <f aca="false">IF(H5="","",H5-G5)</f>
        <v>-12</v>
      </c>
      <c r="L5" s="8" t="s">
        <v>541</v>
      </c>
    </row>
    <row r="6" customFormat="false" ht="15" hidden="false" customHeight="false" outlineLevel="0" collapsed="false">
      <c r="A6" s="2" t="n">
        <v>5</v>
      </c>
      <c r="B6" s="2" t="n">
        <v>2</v>
      </c>
      <c r="C6" s="3" t="s">
        <v>542</v>
      </c>
      <c r="D6" s="4" t="s">
        <v>543</v>
      </c>
      <c r="E6" s="2" t="s">
        <v>103</v>
      </c>
      <c r="F6" s="2" t="n">
        <v>11</v>
      </c>
      <c r="G6" s="2" t="n">
        <v>186</v>
      </c>
      <c r="H6" s="2" t="n">
        <v>172</v>
      </c>
      <c r="I6" s="2" t="s">
        <v>544</v>
      </c>
      <c r="J6" s="3"/>
      <c r="K6" s="2" t="n">
        <f aca="false">IF(H6="","",H6-G6)</f>
        <v>-14</v>
      </c>
      <c r="L6" s="8" t="s">
        <v>545</v>
      </c>
    </row>
    <row r="7" customFormat="false" ht="15" hidden="false" customHeight="false" outlineLevel="0" collapsed="false">
      <c r="A7" s="5" t="n">
        <v>6</v>
      </c>
      <c r="B7" s="5" t="n">
        <v>2</v>
      </c>
      <c r="C7" s="6" t="s">
        <v>542</v>
      </c>
      <c r="D7" s="7" t="s">
        <v>546</v>
      </c>
      <c r="E7" s="5" t="s">
        <v>35</v>
      </c>
      <c r="F7" s="5" t="n">
        <v>10</v>
      </c>
      <c r="G7" s="5" t="n">
        <v>187</v>
      </c>
      <c r="H7" s="5" t="n">
        <v>175</v>
      </c>
      <c r="I7" s="5" t="s">
        <v>547</v>
      </c>
      <c r="J7" s="6"/>
      <c r="K7" s="5" t="n">
        <f aca="false">IF(H7="","",H7-G7)</f>
        <v>-12</v>
      </c>
      <c r="L7" s="8" t="s">
        <v>548</v>
      </c>
    </row>
    <row r="8" customFormat="false" ht="15" hidden="false" customHeight="false" outlineLevel="0" collapsed="false">
      <c r="A8" s="5" t="n">
        <v>7</v>
      </c>
      <c r="B8" s="5" t="n">
        <v>2</v>
      </c>
      <c r="C8" s="6" t="s">
        <v>542</v>
      </c>
      <c r="D8" s="7" t="s">
        <v>549</v>
      </c>
      <c r="E8" s="5" t="s">
        <v>42</v>
      </c>
      <c r="F8" s="5" t="n">
        <v>13</v>
      </c>
      <c r="G8" s="5" t="n">
        <v>188</v>
      </c>
      <c r="H8" s="5" t="n">
        <v>174</v>
      </c>
      <c r="I8" s="5" t="s">
        <v>550</v>
      </c>
      <c r="J8" s="6"/>
      <c r="K8" s="5" t="n">
        <f aca="false">IF(H8="","",H8-G8)</f>
        <v>-14</v>
      </c>
      <c r="L8" s="8" t="s">
        <v>551</v>
      </c>
    </row>
    <row r="9" customFormat="false" ht="15" hidden="false" customHeight="false" outlineLevel="0" collapsed="false">
      <c r="A9" s="5" t="n">
        <v>8</v>
      </c>
      <c r="B9" s="5" t="n">
        <v>2</v>
      </c>
      <c r="C9" s="6" t="s">
        <v>542</v>
      </c>
      <c r="D9" s="7" t="s">
        <v>552</v>
      </c>
      <c r="E9" s="5" t="s">
        <v>107</v>
      </c>
      <c r="F9" s="5" t="n">
        <v>11</v>
      </c>
      <c r="G9" s="5" t="n">
        <v>189</v>
      </c>
      <c r="H9" s="5" t="n">
        <v>177</v>
      </c>
      <c r="I9" s="5" t="s">
        <v>553</v>
      </c>
      <c r="J9" s="6"/>
      <c r="K9" s="5" t="n">
        <f aca="false">IF(H9="","",H9-G9)</f>
        <v>-12</v>
      </c>
      <c r="L9" s="8" t="s">
        <v>554</v>
      </c>
    </row>
    <row r="10" customFormat="false" ht="15" hidden="false" customHeight="false" outlineLevel="0" collapsed="false">
      <c r="A10" s="5" t="n">
        <v>9</v>
      </c>
      <c r="B10" s="5" t="n">
        <v>2</v>
      </c>
      <c r="C10" s="6" t="s">
        <v>542</v>
      </c>
      <c r="D10" s="7" t="s">
        <v>555</v>
      </c>
      <c r="E10" s="5" t="s">
        <v>76</v>
      </c>
      <c r="F10" s="5" t="n">
        <v>11</v>
      </c>
      <c r="G10" s="5" t="n">
        <v>190</v>
      </c>
      <c r="H10" s="5" t="n">
        <v>176</v>
      </c>
      <c r="I10" s="5" t="s">
        <v>556</v>
      </c>
      <c r="J10" s="6"/>
      <c r="K10" s="5" t="n">
        <f aca="false">IF(H10="","",H10-G10)</f>
        <v>-14</v>
      </c>
      <c r="L10" s="8" t="s">
        <v>557</v>
      </c>
    </row>
    <row r="11" customFormat="false" ht="15" hidden="false" customHeight="false" outlineLevel="0" collapsed="false">
      <c r="A11" s="5" t="n">
        <v>10</v>
      </c>
      <c r="B11" s="5" t="n">
        <v>2</v>
      </c>
      <c r="C11" s="6" t="s">
        <v>542</v>
      </c>
      <c r="D11" s="7" t="s">
        <v>558</v>
      </c>
      <c r="E11" s="5" t="s">
        <v>14</v>
      </c>
      <c r="F11" s="5" t="n">
        <v>6</v>
      </c>
      <c r="G11" s="5" t="n">
        <v>191</v>
      </c>
      <c r="H11" s="5" t="n">
        <v>178</v>
      </c>
      <c r="I11" s="5" t="s">
        <v>559</v>
      </c>
      <c r="J11" s="6"/>
      <c r="K11" s="5" t="n">
        <f aca="false">IF(H11="","",H11-G11)</f>
        <v>-13</v>
      </c>
      <c r="L11" s="8" t="s">
        <v>560</v>
      </c>
    </row>
    <row r="12" customFormat="false" ht="15" hidden="false" customHeight="false" outlineLevel="0" collapsed="false">
      <c r="A12" s="5" t="n">
        <v>11</v>
      </c>
      <c r="B12" s="5" t="n">
        <v>2</v>
      </c>
      <c r="C12" s="6" t="s">
        <v>542</v>
      </c>
      <c r="D12" s="7" t="s">
        <v>561</v>
      </c>
      <c r="E12" s="5" t="s">
        <v>49</v>
      </c>
      <c r="F12" s="5" t="n">
        <v>5</v>
      </c>
      <c r="G12" s="5" t="n">
        <v>192</v>
      </c>
      <c r="H12" s="5" t="n">
        <v>179</v>
      </c>
      <c r="I12" s="5" t="s">
        <v>562</v>
      </c>
      <c r="J12" s="6"/>
      <c r="K12" s="5" t="n">
        <f aca="false">IF(H12="","",H12-G12)</f>
        <v>-13</v>
      </c>
      <c r="L12" s="8" t="s">
        <v>563</v>
      </c>
    </row>
    <row r="13" customFormat="false" ht="15" hidden="false" customHeight="false" outlineLevel="0" collapsed="false">
      <c r="A13" s="5" t="n">
        <v>12</v>
      </c>
      <c r="B13" s="5" t="n">
        <v>2</v>
      </c>
      <c r="C13" s="6" t="s">
        <v>542</v>
      </c>
      <c r="D13" s="7" t="s">
        <v>564</v>
      </c>
      <c r="E13" s="5" t="s">
        <v>38</v>
      </c>
      <c r="F13" s="5" t="n">
        <v>7</v>
      </c>
      <c r="G13" s="5" t="n">
        <v>193</v>
      </c>
      <c r="H13" s="5" t="n">
        <v>180</v>
      </c>
      <c r="I13" s="5" t="s">
        <v>565</v>
      </c>
      <c r="J13" s="6"/>
      <c r="K13" s="5" t="n">
        <f aca="false">IF(H13="","",H13-G13)</f>
        <v>-13</v>
      </c>
      <c r="L13" s="8" t="s">
        <v>566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9" t="s">
        <v>567</v>
      </c>
    </row>
    <row r="2" customFormat="false" ht="15" hidden="false" customHeight="false" outlineLevel="0" collapsed="false">
      <c r="A2" s="10" t="s">
        <v>568</v>
      </c>
    </row>
    <row r="3" customFormat="false" ht="15" hidden="false" customHeight="false" outlineLevel="0" collapsed="false">
      <c r="A3" s="10" t="s">
        <v>569</v>
      </c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9" t="s">
        <v>570</v>
      </c>
    </row>
    <row r="6" customFormat="false" ht="15" hidden="false" customHeight="false" outlineLevel="0" collapsed="false">
      <c r="A6" s="10" t="s">
        <v>571</v>
      </c>
    </row>
    <row r="7" customFormat="false" ht="15" hidden="false" customHeight="false" outlineLevel="0" collapsed="false">
      <c r="A7" s="10" t="s">
        <v>572</v>
      </c>
    </row>
    <row r="8" customFormat="false" ht="15" hidden="false" customHeight="false" outlineLevel="0" collapsed="false">
      <c r="A8" s="10" t="s">
        <v>573</v>
      </c>
    </row>
    <row r="9" customFormat="false" ht="15" hidden="false" customHeight="false" outlineLevel="0" collapsed="false">
      <c r="A9" s="10" t="s">
        <v>574</v>
      </c>
    </row>
    <row r="10" customFormat="false" ht="15" hidden="false" customHeight="false" outlineLevel="0" collapsed="false">
      <c r="A10" s="10" t="s">
        <v>575</v>
      </c>
    </row>
    <row r="11" customFormat="false" ht="15" hidden="false" customHeight="false" outlineLevel="0" collapsed="false">
      <c r="A11" s="10" t="s">
        <v>576</v>
      </c>
    </row>
    <row r="12" customFormat="false" ht="15" hidden="false" customHeight="false" outlineLevel="0" collapsed="false">
      <c r="A12" s="10" t="s">
        <v>577</v>
      </c>
    </row>
    <row r="13" customFormat="false" ht="15" hidden="false" customHeight="false" outlineLevel="0" collapsed="false">
      <c r="A13" s="10"/>
    </row>
    <row r="14" customFormat="false" ht="15" hidden="false" customHeight="false" outlineLevel="0" collapsed="false">
      <c r="A14" s="9" t="s">
        <v>578</v>
      </c>
    </row>
    <row r="15" customFormat="false" ht="15" hidden="false" customHeight="false" outlineLevel="0" collapsed="false">
      <c r="A15" s="10" t="s">
        <v>579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580</v>
      </c>
    </row>
    <row r="18" customFormat="false" ht="15" hidden="false" customHeight="false" outlineLevel="0" collapsed="false">
      <c r="A18" s="10" t="s">
        <v>581</v>
      </c>
    </row>
    <row r="19" customFormat="false" ht="15" hidden="false" customHeight="false" outlineLevel="0" collapsed="false">
      <c r="A19" s="10"/>
    </row>
    <row r="20" customFormat="false" ht="15" hidden="false" customHeight="false" outlineLevel="0" collapsed="false">
      <c r="A20" s="10" t="s">
        <v>582</v>
      </c>
    </row>
    <row r="21" customFormat="false" ht="15" hidden="false" customHeight="false" outlineLevel="0" collapsed="false">
      <c r="A21" s="10" t="s">
        <v>583</v>
      </c>
    </row>
    <row r="22" customFormat="false" ht="15" hidden="false" customHeight="false" outlineLevel="0" collapsed="false">
      <c r="A22" s="10" t="s">
        <v>584</v>
      </c>
    </row>
    <row r="23" customFormat="false" ht="15" hidden="false" customHeight="false" outlineLevel="0" collapsed="false">
      <c r="A23" s="10" t="s">
        <v>585</v>
      </c>
    </row>
    <row r="24" customFormat="false" ht="15" hidden="false" customHeight="false" outlineLevel="0" collapsed="false">
      <c r="A24" s="10" t="s">
        <v>586</v>
      </c>
    </row>
    <row r="25" customFormat="false" ht="15" hidden="false" customHeight="false" outlineLevel="0" collapsed="false">
      <c r="A25" s="10"/>
    </row>
    <row r="26" customFormat="false" ht="15" hidden="false" customHeight="false" outlineLevel="0" collapsed="false">
      <c r="A26" s="10" t="s">
        <v>587</v>
      </c>
    </row>
    <row r="27" customFormat="false" ht="15" hidden="false" customHeight="false" outlineLevel="0" collapsed="false">
      <c r="A27" s="10" t="s">
        <v>588</v>
      </c>
    </row>
    <row r="28" customFormat="false" ht="15" hidden="false" customHeight="false" outlineLevel="0" collapsed="false">
      <c r="A28" s="10" t="s">
        <v>589</v>
      </c>
    </row>
    <row r="29" customFormat="false" ht="15" hidden="false" customHeight="false" outlineLevel="0" collapsed="false">
      <c r="A29" s="10" t="s">
        <v>590</v>
      </c>
    </row>
    <row r="30" customFormat="false" ht="15" hidden="false" customHeight="false" outlineLevel="0" collapsed="false">
      <c r="A30" s="10" t="s">
        <v>591</v>
      </c>
    </row>
    <row r="31" customFormat="false" ht="15" hidden="false" customHeight="false" outlineLevel="0" collapsed="false">
      <c r="A31" s="10" t="s">
        <v>592</v>
      </c>
    </row>
    <row r="32" customFormat="false" ht="15" hidden="false" customHeight="false" outlineLevel="0" collapsed="false">
      <c r="A32" s="10" t="s">
        <v>593</v>
      </c>
    </row>
    <row r="33" customFormat="false" ht="15" hidden="false" customHeight="false" outlineLevel="0" collapsed="false">
      <c r="A33" s="10" t="s">
        <v>594</v>
      </c>
    </row>
    <row r="34" customFormat="false" ht="15" hidden="false" customHeight="false" outlineLevel="0" collapsed="false">
      <c r="A34" s="10" t="s">
        <v>595</v>
      </c>
    </row>
    <row r="35" customFormat="false" ht="15" hidden="false" customHeight="false" outlineLevel="0" collapsed="false">
      <c r="A35" s="10"/>
    </row>
    <row r="36" customFormat="false" ht="15" hidden="false" customHeight="false" outlineLevel="0" collapsed="false">
      <c r="A36" s="9" t="s">
        <v>596</v>
      </c>
    </row>
    <row r="37" customFormat="false" ht="15" hidden="false" customHeight="false" outlineLevel="0" collapsed="false">
      <c r="A37" s="10" t="s">
        <v>597</v>
      </c>
    </row>
    <row r="38" customFormat="false" ht="15" hidden="false" customHeight="false" outlineLevel="0" collapsed="false">
      <c r="A38" s="10" t="s">
        <v>598</v>
      </c>
    </row>
    <row r="39" customFormat="false" ht="15" hidden="false" customHeight="false" outlineLevel="0" collapsed="false">
      <c r="A39" s="10" t="s">
        <v>599</v>
      </c>
    </row>
    <row r="40" customFormat="false" ht="15" hidden="false" customHeight="false" outlineLevel="0" collapsed="false">
      <c r="A40" s="10" t="s">
        <v>600</v>
      </c>
    </row>
    <row r="41" customFormat="false" ht="15" hidden="false" customHeight="false" outlineLevel="0" collapsed="false">
      <c r="A41" s="10" t="s">
        <v>601</v>
      </c>
    </row>
    <row r="42" customFormat="false" ht="15" hidden="false" customHeight="false" outlineLevel="0" collapsed="false">
      <c r="A42" s="10" t="s">
        <v>602</v>
      </c>
    </row>
    <row r="43" customFormat="false" ht="15" hidden="false" customHeight="false" outlineLevel="0" collapsed="false">
      <c r="A43" s="10"/>
    </row>
    <row r="44" customFormat="false" ht="15" hidden="false" customHeight="false" outlineLevel="0" collapsed="false">
      <c r="A44" s="9" t="s">
        <v>603</v>
      </c>
    </row>
    <row r="45" customFormat="false" ht="15" hidden="false" customHeight="false" outlineLevel="0" collapsed="false">
      <c r="A45" s="10" t="s">
        <v>604</v>
      </c>
    </row>
    <row r="46" customFormat="false" ht="15" hidden="false" customHeight="false" outlineLevel="0" collapsed="false">
      <c r="A46" s="10" t="s">
        <v>605</v>
      </c>
    </row>
    <row r="47" customFormat="false" ht="15" hidden="false" customHeight="false" outlineLevel="0" collapsed="false">
      <c r="A47" s="1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2026-09-01T23:59:30Z</dcterms:created>
  <dc:creator>openpyxl</dc:creator>
  <dc:description/>
  <dc:language>en-US</dc:language>
  <cp:lastModifiedBy/>
  <dcterms:modified xsi:type="dcterms:W3CDTF">2026-09-01T23:59:30Z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