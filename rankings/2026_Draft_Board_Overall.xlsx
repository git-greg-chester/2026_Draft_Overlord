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aft Board" sheetId="1" state="visible" r:id="rId3"/>
    <sheet name="Method &amp; Legend" sheetId="2" state="visible" r:id="rId4"/>
  </sheets>
  <definedNames>
    <definedName function="false" hidden="true" localSheetId="0" name="_xlnm._FilterDatabase" vbProcedure="false">'Draft Board'!$A$1:$M$194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<sst xmlns="http://schemas.openxmlformats.org/spreadsheetml/2006/main" count="1135" uniqueCount="599">
  <si>
    <t xml:space="preserve">MY RANK</t>
  </si>
  <si>
    <t xml:space="preserve">TIER</t>
  </si>
  <si>
    <t xml:space="preserve">TIER NAME</t>
  </si>
  <si>
    <t xml:space="preserve">PLAYER</t>
  </si>
  <si>
    <t xml:space="preserve">POS</t>
  </si>
  <si>
    <t xml:space="preserve">TEAM</t>
  </si>
  <si>
    <t xml:space="preserve">BYE</t>
  </si>
  <si>
    <t xml:space="preserve">ESPN OVR</t>
  </si>
  <si>
    <t xml:space="preserve">ESPN POS</t>
  </si>
  <si>
    <t xml:space="preserve">INDUSTRY ADP</t>
  </si>
  <si>
    <t xml:space="preserve">DELTA (ESPN-MINE)</t>
  </si>
  <si>
    <t xml:space="preserve">ESPN $</t>
  </si>
  <si>
    <t xml:space="preserve">FLAGS</t>
  </si>
  <si>
    <t xml:space="preserve">T1 - Elite anchors</t>
  </si>
  <si>
    <t xml:space="preserve">Jahmyr Gibbs</t>
  </si>
  <si>
    <t xml:space="preserve">RB</t>
  </si>
  <si>
    <t xml:space="preserve">DET</t>
  </si>
  <si>
    <t xml:space="preserve">RB1</t>
  </si>
  <si>
    <t xml:space="preserve">Bijan Robinson</t>
  </si>
  <si>
    <t xml:space="preserve">ATL</t>
  </si>
  <si>
    <t xml:space="preserve">RB2</t>
  </si>
  <si>
    <t xml:space="preserve">Ja'Marr Chase</t>
  </si>
  <si>
    <t xml:space="preserve">WR</t>
  </si>
  <si>
    <t xml:space="preserve">CIN</t>
  </si>
  <si>
    <t xml:space="preserve">WR1</t>
  </si>
  <si>
    <t xml:space="preserve">Hyperextended knee; expected Wk1, limited in practice</t>
  </si>
  <si>
    <t xml:space="preserve">Puka Nacua</t>
  </si>
  <si>
    <t xml:space="preserve">LAR</t>
  </si>
  <si>
    <t xml:space="preserve">WR2</t>
  </si>
  <si>
    <t xml:space="preserve">Jaxon Smith-Njigba</t>
  </si>
  <si>
    <t xml:space="preserve">SEA</t>
  </si>
  <si>
    <t xml:space="preserve">WR3</t>
  </si>
  <si>
    <t xml:space="preserve">T2 - Round 1 core</t>
  </si>
  <si>
    <t xml:space="preserve">Christian McCaffrey</t>
  </si>
  <si>
    <t xml:space="preserve">SF</t>
  </si>
  <si>
    <t xml:space="preserve">RB3</t>
  </si>
  <si>
    <t xml:space="preserve">Age 30 + 413 touches in 2025; consensus overvalued flag</t>
  </si>
  <si>
    <t xml:space="preserve">Amon-Ra St. Brown</t>
  </si>
  <si>
    <t xml:space="preserve">WR4</t>
  </si>
  <si>
    <t xml:space="preserve">Jonathan Taylor</t>
  </si>
  <si>
    <t xml:space="preserve">IND</t>
  </si>
  <si>
    <t xml:space="preserve">RB4</t>
  </si>
  <si>
    <t xml:space="preserve">De'Von Achane</t>
  </si>
  <si>
    <t xml:space="preserve">MIA</t>
  </si>
  <si>
    <t xml:space="preserve">RB5</t>
  </si>
  <si>
    <t xml:space="preserve">ESPN 5.4 spots ahead of industry</t>
  </si>
  <si>
    <t xml:space="preserve">Justin Jefferson</t>
  </si>
  <si>
    <t xml:space="preserve">MIN</t>
  </si>
  <si>
    <t xml:space="preserve">WR6</t>
  </si>
  <si>
    <t xml:space="preserve">Value gated on Kyler Murray winning MIN QB job</t>
  </si>
  <si>
    <t xml:space="preserve">CeeDee Lamb</t>
  </si>
  <si>
    <t xml:space="preserve">DAL</t>
  </si>
  <si>
    <t xml:space="preserve">WR5</t>
  </si>
  <si>
    <t xml:space="preserve">WK14 BYE = your final regular-season week</t>
  </si>
  <si>
    <t xml:space="preserve">T3 - Round 2 / early 3</t>
  </si>
  <si>
    <t xml:space="preserve">James Cook III</t>
  </si>
  <si>
    <t xml:space="preserve">BUF</t>
  </si>
  <si>
    <t xml:space="preserve">RB6</t>
  </si>
  <si>
    <t xml:space="preserve">Brock Bowers</t>
  </si>
  <si>
    <t xml:space="preserve">TE</t>
  </si>
  <si>
    <t xml:space="preserve">LV</t>
  </si>
  <si>
    <t xml:space="preserve">TE2</t>
  </si>
  <si>
    <t xml:space="preserve">Elite TE; Wk13 bye vs McBride Wk14 = tiebreaker</t>
  </si>
  <si>
    <t xml:space="preserve">Nico Collins</t>
  </si>
  <si>
    <t xml:space="preserve">HOU</t>
  </si>
  <si>
    <t xml:space="preserve">WR9</t>
  </si>
  <si>
    <t xml:space="preserve">ESPN low; Jayden Higgins ACL vacates HOU targets</t>
  </si>
  <si>
    <t xml:space="preserve">A.J. Brown</t>
  </si>
  <si>
    <t xml:space="preserve">NE</t>
  </si>
  <si>
    <t xml:space="preserve">WR10</t>
  </si>
  <si>
    <t xml:space="preserve">ESPN 6.5 behind industry</t>
  </si>
  <si>
    <t xml:space="preserve">Saquon Barkley</t>
  </si>
  <si>
    <t xml:space="preserve">PHI</t>
  </si>
  <si>
    <t xml:space="preserve">RB8</t>
  </si>
  <si>
    <t xml:space="preserve">Omarion Hampton</t>
  </si>
  <si>
    <t xml:space="preserve">LAC</t>
  </si>
  <si>
    <t xml:space="preserve">RB13</t>
  </si>
  <si>
    <t xml:space="preserve">ESPN value; Harbaugh run-heavy</t>
  </si>
  <si>
    <t xml:space="preserve">Derrick Henry</t>
  </si>
  <si>
    <t xml:space="preserve">BAL</t>
  </si>
  <si>
    <t xml:space="preserve">RB9</t>
  </si>
  <si>
    <t xml:space="preserve">Drake London</t>
  </si>
  <si>
    <t xml:space="preserve">WR7</t>
  </si>
  <si>
    <t xml:space="preserve">FADE: one 1,000yd season in four; ATL QB questions</t>
  </si>
  <si>
    <t xml:space="preserve">Chris Olave</t>
  </si>
  <si>
    <t xml:space="preserve">NO</t>
  </si>
  <si>
    <t xml:space="preserve">WR11</t>
  </si>
  <si>
    <t xml:space="preserve">RISER: Jordyn Tyson to IR makes Olave the focal point</t>
  </si>
  <si>
    <t xml:space="preserve">Chase Brown</t>
  </si>
  <si>
    <t xml:space="preserve">RB12</t>
  </si>
  <si>
    <t xml:space="preserve">Kenneth Walker III</t>
  </si>
  <si>
    <t xml:space="preserve">KC</t>
  </si>
  <si>
    <t xml:space="preserve">RB11</t>
  </si>
  <si>
    <t xml:space="preserve">Foot, expected to play; Emmett Johnson is RB2</t>
  </si>
  <si>
    <t xml:space="preserve">T4 - Round 3</t>
  </si>
  <si>
    <t xml:space="preserve">Malik Nabers</t>
  </si>
  <si>
    <t xml:space="preserve">NYG</t>
  </si>
  <si>
    <t xml:space="preserve">WR12</t>
  </si>
  <si>
    <t xml:space="preserve">George Pickens</t>
  </si>
  <si>
    <t xml:space="preserve">WR14</t>
  </si>
  <si>
    <t xml:space="preserve">WK14 BYE</t>
  </si>
  <si>
    <t xml:space="preserve">Trey McBride</t>
  </si>
  <si>
    <t xml:space="preserve">ARI</t>
  </si>
  <si>
    <t xml:space="preserve">TE1</t>
  </si>
  <si>
    <t xml:space="preserve">WK14 BYE; ESPN 8 spots ahead of industry</t>
  </si>
  <si>
    <t xml:space="preserve">Garrett Wilson</t>
  </si>
  <si>
    <t xml:space="preserve">NYJ</t>
  </si>
  <si>
    <t xml:space="preserve">WR13</t>
  </si>
  <si>
    <t xml:space="preserve">Ashton Jeanty</t>
  </si>
  <si>
    <t xml:space="preserve">RB10</t>
  </si>
  <si>
    <t xml:space="preserve">ANKLE: ~30% Wk1 per Kalshi; NOT on IR so back within 4wks</t>
  </si>
  <si>
    <t xml:space="preserve">Javonte Williams</t>
  </si>
  <si>
    <t xml:space="preserve">RB15</t>
  </si>
  <si>
    <t xml:space="preserve">WK14 BYE; DAL cut Blue+Mafah, workload clean</t>
  </si>
  <si>
    <t xml:space="preserve">Kyren Williams</t>
  </si>
  <si>
    <t xml:space="preserve">RB17</t>
  </si>
  <si>
    <t xml:space="preserve">Tee Higgins</t>
  </si>
  <si>
    <t xml:space="preserve">WR22</t>
  </si>
  <si>
    <t xml:space="preserve">ESPN VALUE +10; no health flags on him or Burrow</t>
  </si>
  <si>
    <t xml:space="preserve">DeVonta Smith</t>
  </si>
  <si>
    <t xml:space="preserve">WR17</t>
  </si>
  <si>
    <t xml:space="preserve">Jeremiyah Love</t>
  </si>
  <si>
    <t xml:space="preserve">RB7</t>
  </si>
  <si>
    <t xml:space="preserve">HIGH ANKLE ~50/50 Wk1; ESPN 18 ahead of industry; WK14 BYE</t>
  </si>
  <si>
    <t xml:space="preserve">Zay Flowers</t>
  </si>
  <si>
    <t xml:space="preserve">WR15</t>
  </si>
  <si>
    <t xml:space="preserve">T5 - Round 4</t>
  </si>
  <si>
    <t xml:space="preserve">Breece Hall</t>
  </si>
  <si>
    <t xml:space="preserve">RB14</t>
  </si>
  <si>
    <t xml:space="preserve">Groin since mid-Aug; Wk1 intact</t>
  </si>
  <si>
    <t xml:space="preserve">Tetairoa McMillan</t>
  </si>
  <si>
    <t xml:space="preserve">CAR</t>
  </si>
  <si>
    <t xml:space="preserve">WR16</t>
  </si>
  <si>
    <t xml:space="preserve">Ladd McConkey</t>
  </si>
  <si>
    <t xml:space="preserve">WR20</t>
  </si>
  <si>
    <t xml:space="preserve">Terry McLaurin</t>
  </si>
  <si>
    <t xml:space="preserve">WAS</t>
  </si>
  <si>
    <t xml:space="preserve">WR21</t>
  </si>
  <si>
    <t xml:space="preserve">Rashee Rice</t>
  </si>
  <si>
    <t xml:space="preserve">WR8</t>
  </si>
  <si>
    <t xml:space="preserve">FADE: 12 games in 2 seasons + offseason knee surgery</t>
  </si>
  <si>
    <t xml:space="preserve">Travis Etienne Jr.</t>
  </si>
  <si>
    <t xml:space="preserve">RB16</t>
  </si>
  <si>
    <t xml:space="preserve">Quinshon Judkins</t>
  </si>
  <si>
    <t xml:space="preserve">CLE</t>
  </si>
  <si>
    <t xml:space="preserve">RB18</t>
  </si>
  <si>
    <t xml:space="preserve">ESPN 14 ahead of industry</t>
  </si>
  <si>
    <t xml:space="preserve">Davante Adams</t>
  </si>
  <si>
    <t xml:space="preserve">WR19</t>
  </si>
  <si>
    <t xml:space="preserve">Cam Skattebo</t>
  </si>
  <si>
    <t xml:space="preserve">RB19</t>
  </si>
  <si>
    <t xml:space="preserve">Najee Harris signing threatens volume</t>
  </si>
  <si>
    <t xml:space="preserve">Jaylen Waddle</t>
  </si>
  <si>
    <t xml:space="preserve">DEN</t>
  </si>
  <si>
    <t xml:space="preserve">WR23</t>
  </si>
  <si>
    <t xml:space="preserve">Bucky Irving</t>
  </si>
  <si>
    <t xml:space="preserve">TB</t>
  </si>
  <si>
    <t xml:space="preserve">RB20</t>
  </si>
  <si>
    <t xml:space="preserve">D'Andre Swift</t>
  </si>
  <si>
    <t xml:space="preserve">CHI</t>
  </si>
  <si>
    <t xml:space="preserve">RB21</t>
  </si>
  <si>
    <t xml:space="preserve">T6 - Round 5</t>
  </si>
  <si>
    <t xml:space="preserve">Rome Odunze</t>
  </si>
  <si>
    <t xml:space="preserve">WR24</t>
  </si>
  <si>
    <t xml:space="preserve">WR1 in CHI with Burden hurt</t>
  </si>
  <si>
    <t xml:space="preserve">Colston Loveland</t>
  </si>
  <si>
    <t xml:space="preserve">TE3</t>
  </si>
  <si>
    <t xml:space="preserve">ESPN value; flagged as top TE buy</t>
  </si>
  <si>
    <t xml:space="preserve">Emeka Egbuka</t>
  </si>
  <si>
    <t xml:space="preserve">WR18</t>
  </si>
  <si>
    <t xml:space="preserve">Toe sprain, missed practice; re-aggravation risk</t>
  </si>
  <si>
    <t xml:space="preserve">Jameson Williams</t>
  </si>
  <si>
    <t xml:space="preserve">WR25</t>
  </si>
  <si>
    <t xml:space="preserve">Josh Allen</t>
  </si>
  <si>
    <t xml:space="preserve">QB</t>
  </si>
  <si>
    <t xml:space="preserve">QB1</t>
  </si>
  <si>
    <t xml:space="preserve">Only QB worth a pre-round-8 pick in this format</t>
  </si>
  <si>
    <t xml:space="preserve">DJ Moore</t>
  </si>
  <si>
    <t xml:space="preserve">WR26</t>
  </si>
  <si>
    <t xml:space="preserve">David Montgomery</t>
  </si>
  <si>
    <t xml:space="preserve">RB23</t>
  </si>
  <si>
    <t xml:space="preserve">ESPN VALUE +13; Marks may push toward 50/50</t>
  </si>
  <si>
    <t xml:space="preserve">Tyler Warren</t>
  </si>
  <si>
    <t xml:space="preserve">TE4</t>
  </si>
  <si>
    <t xml:space="preserve">Adductor strain, Wk1 expected</t>
  </si>
  <si>
    <t xml:space="preserve">Bhayshul Tuten</t>
  </si>
  <si>
    <t xml:space="preserve">JAC</t>
  </si>
  <si>
    <t xml:space="preserve">RB22</t>
  </si>
  <si>
    <t xml:space="preserve">Handling most JAX first-team work</t>
  </si>
  <si>
    <t xml:space="preserve">Christian Watson</t>
  </si>
  <si>
    <t xml:space="preserve">GB</t>
  </si>
  <si>
    <t xml:space="preserve">WR35</t>
  </si>
  <si>
    <t xml:space="preserve">ESPN VALUE +20</t>
  </si>
  <si>
    <t xml:space="preserve">Jaylen Warren</t>
  </si>
  <si>
    <t xml:space="preserve">PIT</t>
  </si>
  <si>
    <t xml:space="preserve">RB27</t>
  </si>
  <si>
    <t xml:space="preserve">Splits with Dowdle</t>
  </si>
  <si>
    <t xml:space="preserve">T7 - Rounds 6-7</t>
  </si>
  <si>
    <t xml:space="preserve">Carnell Tate</t>
  </si>
  <si>
    <t xml:space="preserve">TEN</t>
  </si>
  <si>
    <t xml:space="preserve">WR28</t>
  </si>
  <si>
    <t xml:space="preserve">No.4 overall pick, installed as X</t>
  </si>
  <si>
    <t xml:space="preserve">Jadarian Price</t>
  </si>
  <si>
    <t xml:space="preserve">RB24</t>
  </si>
  <si>
    <t xml:space="preserve">Rookie 1st-rounder; Charbonnet on PUP</t>
  </si>
  <si>
    <t xml:space="preserve">Rhamondre Stevenson</t>
  </si>
  <si>
    <t xml:space="preserve">RB26</t>
  </si>
  <si>
    <t xml:space="preserve">Marvin Harrison Jr.</t>
  </si>
  <si>
    <t xml:space="preserve">WR31</t>
  </si>
  <si>
    <t xml:space="preserve">Brian Thomas Jr.</t>
  </si>
  <si>
    <t xml:space="preserve">WR38</t>
  </si>
  <si>
    <t xml:space="preserve">ESPN VALUE +13; strong camp, buy the down year</t>
  </si>
  <si>
    <t xml:space="preserve">Luther Burden III</t>
  </si>
  <si>
    <t xml:space="preserve">WR27</t>
  </si>
  <si>
    <t xml:space="preserve">Groin, ~month; Wk1 hoped but risky</t>
  </si>
  <si>
    <t xml:space="preserve">Parker Washington</t>
  </si>
  <si>
    <t xml:space="preserve">WR33</t>
  </si>
  <si>
    <t xml:space="preserve">ESPN VALUE +12</t>
  </si>
  <si>
    <t xml:space="preserve">DK Metcalf</t>
  </si>
  <si>
    <t xml:space="preserve">WR32</t>
  </si>
  <si>
    <t xml:space="preserve">Kyle Pitts Sr.</t>
  </si>
  <si>
    <t xml:space="preserve">TE5</t>
  </si>
  <si>
    <t xml:space="preserve">TE2 in PPR pts 2025; Tua upside</t>
  </si>
  <si>
    <t xml:space="preserve">Harold Fannin Jr.</t>
  </si>
  <si>
    <t xml:space="preserve">TE6</t>
  </si>
  <si>
    <t xml:space="preserve">New WRs, new staff, QB uncertainty</t>
  </si>
  <si>
    <t xml:space="preserve">Sam LaPorta</t>
  </si>
  <si>
    <t xml:space="preserve">TE7</t>
  </si>
  <si>
    <t xml:space="preserve">Tony Pollard</t>
  </si>
  <si>
    <t xml:space="preserve">RB31</t>
  </si>
  <si>
    <t xml:space="preserve">ESPN VALUE +17; 4 straight 1,000yd seasons</t>
  </si>
  <si>
    <t xml:space="preserve">Rico Dowdle</t>
  </si>
  <si>
    <t xml:space="preserve">RB28</t>
  </si>
  <si>
    <t xml:space="preserve">Courtland Sutton</t>
  </si>
  <si>
    <t xml:space="preserve">WR29</t>
  </si>
  <si>
    <t xml:space="preserve">Waddle arrival caps upside</t>
  </si>
  <si>
    <t xml:space="preserve">Mike Evans</t>
  </si>
  <si>
    <t xml:space="preserve">WR36</t>
  </si>
  <si>
    <t xml:space="preserve">Two quads + groin at 33; genuine analyst split</t>
  </si>
  <si>
    <t xml:space="preserve">MarShawn Lloyd</t>
  </si>
  <si>
    <t xml:space="preserve">RB33</t>
  </si>
  <si>
    <t xml:space="preserve">LEAD BACK with Jacobs on exempt list</t>
  </si>
  <si>
    <t xml:space="preserve">T8 - Rounds 8-9</t>
  </si>
  <si>
    <t xml:space="preserve">Michael Pittman Jr.</t>
  </si>
  <si>
    <t xml:space="preserve">WR30</t>
  </si>
  <si>
    <t xml:space="preserve">ESPN 27 ahead of industry</t>
  </si>
  <si>
    <t xml:space="preserve">Tucker Kraft</t>
  </si>
  <si>
    <t xml:space="preserve">TE9</t>
  </si>
  <si>
    <t xml:space="preserve">ESPN VALUE +23; activated from PUP</t>
  </si>
  <si>
    <t xml:space="preserve">Jonathon Brooks</t>
  </si>
  <si>
    <t xml:space="preserve">RB29</t>
  </si>
  <si>
    <t xml:space="preserve">Rising; Hubbard hamstring opened the split</t>
  </si>
  <si>
    <t xml:space="preserve">TreVeyon Henderson</t>
  </si>
  <si>
    <t xml:space="preserve">RB30</t>
  </si>
  <si>
    <t xml:space="preserve">Jakobi Meyers</t>
  </si>
  <si>
    <t xml:space="preserve">WR40</t>
  </si>
  <si>
    <t xml:space="preserve">Matthew Golden</t>
  </si>
  <si>
    <t xml:space="preserve">WR37</t>
  </si>
  <si>
    <t xml:space="preserve">ESPN 31 ahead of industry</t>
  </si>
  <si>
    <t xml:space="preserve">Kenny Gainwell</t>
  </si>
  <si>
    <t xml:space="preserve">RB32</t>
  </si>
  <si>
    <t xml:space="preserve">Irving healthy, role shrank</t>
  </si>
  <si>
    <t xml:space="preserve">Chuba Hubbard</t>
  </si>
  <si>
    <t xml:space="preserve">RB34</t>
  </si>
  <si>
    <t xml:space="preserve">Hamstring; on track for Wk1</t>
  </si>
  <si>
    <t xml:space="preserve">J.K. Dobbins</t>
  </si>
  <si>
    <t xml:space="preserve">RB35</t>
  </si>
  <si>
    <t xml:space="preserve">Alec Pierce</t>
  </si>
  <si>
    <t xml:space="preserve">WR34</t>
  </si>
  <si>
    <t xml:space="preserve">ESPN 31 ahead; Keenan Allen signing hurts</t>
  </si>
  <si>
    <t xml:space="preserve">Michael Wilson</t>
  </si>
  <si>
    <t xml:space="preserve">WR39</t>
  </si>
  <si>
    <t xml:space="preserve">Kyle Monangai</t>
  </si>
  <si>
    <t xml:space="preserve">RB36</t>
  </si>
  <si>
    <t xml:space="preserve">Jacory Croskey-Merritt</t>
  </si>
  <si>
    <t xml:space="preserve">RB37</t>
  </si>
  <si>
    <t xml:space="preserve">Quentin Johnston</t>
  </si>
  <si>
    <t xml:space="preserve">WR47</t>
  </si>
  <si>
    <t xml:space="preserve">ESPN VALUE +29</t>
  </si>
  <si>
    <t xml:space="preserve">Josh Downs</t>
  </si>
  <si>
    <t xml:space="preserve">WR49</t>
  </si>
  <si>
    <t xml:space="preserve">ESPN VALUE +32; full-PPR slot role</t>
  </si>
  <si>
    <t xml:space="preserve">Jayden Reed</t>
  </si>
  <si>
    <t xml:space="preserve">WR45</t>
  </si>
  <si>
    <t xml:space="preserve">Jordan Addison</t>
  </si>
  <si>
    <t xml:space="preserve">WR42</t>
  </si>
  <si>
    <t xml:space="preserve">Chris Godwin Jr.</t>
  </si>
  <si>
    <t xml:space="preserve">WR52</t>
  </si>
  <si>
    <t xml:space="preserve">LARGEST ESPN GAP (+47)</t>
  </si>
  <si>
    <t xml:space="preserve">Aaron Jones Sr.</t>
  </si>
  <si>
    <t xml:space="preserve">RB38</t>
  </si>
  <si>
    <t xml:space="preserve">Jordan Mason</t>
  </si>
  <si>
    <t xml:space="preserve">RB40</t>
  </si>
  <si>
    <t xml:space="preserve">ESPN VALUE +18</t>
  </si>
  <si>
    <t xml:space="preserve">T9 - Rounds 10-11</t>
  </si>
  <si>
    <t xml:space="preserve">Lamar Jackson</t>
  </si>
  <si>
    <t xml:space="preserve">QB3</t>
  </si>
  <si>
    <t xml:space="preserve">Drake Maye</t>
  </si>
  <si>
    <t xml:space="preserve">QB4</t>
  </si>
  <si>
    <t xml:space="preserve">Joe Burrow</t>
  </si>
  <si>
    <t xml:space="preserve">QB6</t>
  </si>
  <si>
    <t xml:space="preserve">Jayden Daniels</t>
  </si>
  <si>
    <t xml:space="preserve">QB2</t>
  </si>
  <si>
    <t xml:space="preserve">FADE: 2025 regression, thin weapons; ESPN 18 ahead</t>
  </si>
  <si>
    <t xml:space="preserve">Jalen Hurts</t>
  </si>
  <si>
    <t xml:space="preserve">QB5</t>
  </si>
  <si>
    <t xml:space="preserve">ESPN 20 ahead of industry</t>
  </si>
  <si>
    <t xml:space="preserve">Blake Corum</t>
  </si>
  <si>
    <t xml:space="preserve">RB41</t>
  </si>
  <si>
    <t xml:space="preserve">ESPN VALUE +27</t>
  </si>
  <si>
    <t xml:space="preserve">RJ Harvey</t>
  </si>
  <si>
    <t xml:space="preserve">RB42</t>
  </si>
  <si>
    <t xml:space="preserve">ESPN VALUE +34</t>
  </si>
  <si>
    <t xml:space="preserve">Makai Lemon</t>
  </si>
  <si>
    <t xml:space="preserve">WR51</t>
  </si>
  <si>
    <t xml:space="preserve">ESPN VALUE +30</t>
  </si>
  <si>
    <t xml:space="preserve">Stefon Diggs</t>
  </si>
  <si>
    <t xml:space="preserve">WR48</t>
  </si>
  <si>
    <t xml:space="preserve">ESPN VALUE +23</t>
  </si>
  <si>
    <t xml:space="preserve">Xavier Worthy</t>
  </si>
  <si>
    <t xml:space="preserve">WR46</t>
  </si>
  <si>
    <t xml:space="preserve">Khalil Shakir</t>
  </si>
  <si>
    <t xml:space="preserve">WR44</t>
  </si>
  <si>
    <t xml:space="preserve">ESPN 34 ahead of industry</t>
  </si>
  <si>
    <t xml:space="preserve">Deebo Samuel Sr.</t>
  </si>
  <si>
    <t xml:space="preserve">WR53</t>
  </si>
  <si>
    <t xml:space="preserve">Back in SF</t>
  </si>
  <si>
    <t xml:space="preserve">Rashid Shaheed</t>
  </si>
  <si>
    <t xml:space="preserve">WR56</t>
  </si>
  <si>
    <t xml:space="preserve">Romeo Doubs</t>
  </si>
  <si>
    <t xml:space="preserve">WR54</t>
  </si>
  <si>
    <t xml:space="preserve">Jalen Coker</t>
  </si>
  <si>
    <t xml:space="preserve">WR55</t>
  </si>
  <si>
    <t xml:space="preserve">~$12m/yr this offseason, larger role expected</t>
  </si>
  <si>
    <t xml:space="preserve">KC Concepcion</t>
  </si>
  <si>
    <t xml:space="preserve">WR50</t>
  </si>
  <si>
    <t xml:space="preserve">Trevor Lawrence</t>
  </si>
  <si>
    <t xml:space="preserve">QB8</t>
  </si>
  <si>
    <t xml:space="preserve">Coen offense; consensus undervalued</t>
  </si>
  <si>
    <t xml:space="preserve">Dak Prescott</t>
  </si>
  <si>
    <t xml:space="preserve">QB9</t>
  </si>
  <si>
    <t xml:space="preserve">Consensus undervalued; WK14 BYE</t>
  </si>
  <si>
    <t xml:space="preserve">Caleb Williams</t>
  </si>
  <si>
    <t xml:space="preserve">QB13</t>
  </si>
  <si>
    <t xml:space="preserve">George Kittle</t>
  </si>
  <si>
    <t xml:space="preserve">TE8</t>
  </si>
  <si>
    <t xml:space="preserve">ACHILLES; SF opens Thu Sep 10 in Melbourne, 3 fewer rest days</t>
  </si>
  <si>
    <t xml:space="preserve">Josh Jacobs</t>
  </si>
  <si>
    <t xml:space="preserve">RB25</t>
  </si>
  <si>
    <t xml:space="preserve">EXEMPT LIST, no return date, arraignment mid-Nov. ESPN still 37 ahead</t>
  </si>
  <si>
    <t xml:space="preserve">Woody Marks</t>
  </si>
  <si>
    <t xml:space="preserve">RB43</t>
  </si>
  <si>
    <t xml:space="preserve">Could approach 50/50 with Montgomery</t>
  </si>
  <si>
    <t xml:space="preserve">Tyler Allgeier</t>
  </si>
  <si>
    <t xml:space="preserve">RB48</t>
  </si>
  <si>
    <t xml:space="preserve">Wk1 starter if Love out; Conner on IR. WK14 BYE</t>
  </si>
  <si>
    <t xml:space="preserve">T10 - Rounds 12-13</t>
  </si>
  <si>
    <t xml:space="preserve">Jake Ferguson</t>
  </si>
  <si>
    <t xml:space="preserve">TE12</t>
  </si>
  <si>
    <t xml:space="preserve">Isaiah Likely</t>
  </si>
  <si>
    <t xml:space="preserve">TE14</t>
  </si>
  <si>
    <t xml:space="preserve">Dalton Kincaid</t>
  </si>
  <si>
    <t xml:space="preserve">TE15</t>
  </si>
  <si>
    <t xml:space="preserve">Mark Andrews</t>
  </si>
  <si>
    <t xml:space="preserve">TE13</t>
  </si>
  <si>
    <t xml:space="preserve">ESPN 26 ahead of industry</t>
  </si>
  <si>
    <t xml:space="preserve">Travis Kelce</t>
  </si>
  <si>
    <t xml:space="preserve">TE11</t>
  </si>
  <si>
    <t xml:space="preserve">Turns 37 in Oct; TE3 in PPR as recently as 2025</t>
  </si>
  <si>
    <t xml:space="preserve">Dallas Goedert</t>
  </si>
  <si>
    <t xml:space="preserve">TE10</t>
  </si>
  <si>
    <t xml:space="preserve">ESPN 33 ahead of industry</t>
  </si>
  <si>
    <t xml:space="preserve">Justin Herbert</t>
  </si>
  <si>
    <t xml:space="preserve">QB14</t>
  </si>
  <si>
    <t xml:space="preserve">Kyler Murray</t>
  </si>
  <si>
    <t xml:space="preserve">QB16</t>
  </si>
  <si>
    <t xml:space="preserve">ESPN VALUE +16; must beat out McCarthy</t>
  </si>
  <si>
    <t xml:space="preserve">Jared Goff</t>
  </si>
  <si>
    <t xml:space="preserve">QB18</t>
  </si>
  <si>
    <t xml:space="preserve">ESPN VALUE +28; Wk1 NO-DET O/U 49.5</t>
  </si>
  <si>
    <t xml:space="preserve">Baker Mayfield</t>
  </si>
  <si>
    <t xml:space="preserve">QB20</t>
  </si>
  <si>
    <t xml:space="preserve">ESPN VALUE +23; Wk1 TB-CIN O/U 51.5</t>
  </si>
  <si>
    <t xml:space="preserve">Malik Willis</t>
  </si>
  <si>
    <t xml:space="preserve">QB21</t>
  </si>
  <si>
    <t xml:space="preserve">ESPN VALUE +18; rushing upside, negative game scripts</t>
  </si>
  <si>
    <t xml:space="preserve">Matthew Stafford</t>
  </si>
  <si>
    <t xml:space="preserve">QB12</t>
  </si>
  <si>
    <t xml:space="preserve">ESPN 18 ahead of industry</t>
  </si>
  <si>
    <t xml:space="preserve">Brock Purdy</t>
  </si>
  <si>
    <t xml:space="preserve">QB11</t>
  </si>
  <si>
    <t xml:space="preserve">Patrick Mahomes</t>
  </si>
  <si>
    <t xml:space="preserve">QB15</t>
  </si>
  <si>
    <t xml:space="preserve">ACL/LCL recovery; rushing upside reduced, Reid non-committal on Wk1</t>
  </si>
  <si>
    <t xml:space="preserve">Jaxson Dart</t>
  </si>
  <si>
    <t xml:space="preserve">QB7</t>
  </si>
  <si>
    <t xml:space="preserve">ESPN 28 ahead of industry - biggest QB trap on the board</t>
  </si>
  <si>
    <t xml:space="preserve">Bo Nix</t>
  </si>
  <si>
    <t xml:space="preserve">QB10</t>
  </si>
  <si>
    <t xml:space="preserve">ESPN 32 ahead of industry</t>
  </si>
  <si>
    <t xml:space="preserve">Rachaad White</t>
  </si>
  <si>
    <t xml:space="preserve">RB39</t>
  </si>
  <si>
    <t xml:space="preserve">Mike Washington Jr.</t>
  </si>
  <si>
    <t xml:space="preserve">RB52</t>
  </si>
  <si>
    <t xml:space="preserve">JEANTY HANDCUFF; 119yds/15car preseason</t>
  </si>
  <si>
    <t xml:space="preserve">Zach Charbonnet</t>
  </si>
  <si>
    <t xml:space="preserve">RB44</t>
  </si>
  <si>
    <t xml:space="preserve">PUP, targeting ~Wk5. IR-SLOT ELIGIBLE</t>
  </si>
  <si>
    <t xml:space="preserve">Tyjae Spears</t>
  </si>
  <si>
    <t xml:space="preserve">RB45</t>
  </si>
  <si>
    <t xml:space="preserve">Out-snapping Pollard with Ward</t>
  </si>
  <si>
    <t xml:space="preserve">Braelon Allen</t>
  </si>
  <si>
    <t xml:space="preserve">RB53</t>
  </si>
  <si>
    <t xml:space="preserve">Hall groin handcuff</t>
  </si>
  <si>
    <t xml:space="preserve">Brian Robinson Jr.</t>
  </si>
  <si>
    <t xml:space="preserve">RB47</t>
  </si>
  <si>
    <t xml:space="preserve">Isiah Pacheco</t>
  </si>
  <si>
    <t xml:space="preserve">RB50</t>
  </si>
  <si>
    <t xml:space="preserve">Wan'Dale Robinson</t>
  </si>
  <si>
    <t xml:space="preserve">WR41</t>
  </si>
  <si>
    <t xml:space="preserve">De'Zhaun Stribling</t>
  </si>
  <si>
    <t xml:space="preserve">WR43</t>
  </si>
  <si>
    <t xml:space="preserve">ESPN moved him UP 40 spots since Aug 21</t>
  </si>
  <si>
    <t xml:space="preserve">Jerry Jeudy</t>
  </si>
  <si>
    <t xml:space="preserve">WR59</t>
  </si>
  <si>
    <t xml:space="preserve">Calvin Ridley</t>
  </si>
  <si>
    <t xml:space="preserve">WR60</t>
  </si>
  <si>
    <t xml:space="preserve">Denzel Boston</t>
  </si>
  <si>
    <t xml:space="preserve">WR58</t>
  </si>
  <si>
    <t xml:space="preserve">Jalen McMillan</t>
  </si>
  <si>
    <t xml:space="preserve">WR57</t>
  </si>
  <si>
    <t xml:space="preserve">Jordyn Tyson</t>
  </si>
  <si>
    <t xml:space="preserve">WR64</t>
  </si>
  <si>
    <t xml:space="preserve">Short-term IR, hamstring. IR-SLOT ELIGIBLE</t>
  </si>
  <si>
    <t xml:space="preserve">T11 - Endgame / stashes</t>
  </si>
  <si>
    <t xml:space="preserve">Adonai Mitchell</t>
  </si>
  <si>
    <t xml:space="preserve">WR61</t>
  </si>
  <si>
    <t xml:space="preserve">Tre Tucker</t>
  </si>
  <si>
    <t xml:space="preserve">WR65</t>
  </si>
  <si>
    <t xml:space="preserve">Jalen Nailor</t>
  </si>
  <si>
    <t xml:space="preserve">WR66</t>
  </si>
  <si>
    <t xml:space="preserve">Likely LV WR1; consensus sleeper</t>
  </si>
  <si>
    <t xml:space="preserve">Caleb Douglas</t>
  </si>
  <si>
    <t xml:space="preserve">WR63</t>
  </si>
  <si>
    <t xml:space="preserve">James Conner</t>
  </si>
  <si>
    <t xml:space="preserve">OPENS ON IR, min 4 games. IR-SLOT ELIGIBLE. Off ESPN board</t>
  </si>
  <si>
    <t xml:space="preserve">Emmett Johnson</t>
  </si>
  <si>
    <t xml:space="preserve">RB69</t>
  </si>
  <si>
    <t xml:space="preserve">Won KC RB2 outright; Walker handcuff</t>
  </si>
  <si>
    <t xml:space="preserve">Keenan Allen</t>
  </si>
  <si>
    <t xml:space="preserve">WR67</t>
  </si>
  <si>
    <t xml:space="preserve">Now a Colt; ADP climbing</t>
  </si>
  <si>
    <t xml:space="preserve">Chris Rodriguez Jr.</t>
  </si>
  <si>
    <t xml:space="preserve">RB46</t>
  </si>
  <si>
    <t xml:space="preserve">Jonah Coleman</t>
  </si>
  <si>
    <t xml:space="preserve">RB51</t>
  </si>
  <si>
    <t xml:space="preserve">Keaton Mitchell</t>
  </si>
  <si>
    <t xml:space="preserve">RB49</t>
  </si>
  <si>
    <t xml:space="preserve">Kaleb Johnson</t>
  </si>
  <si>
    <t xml:space="preserve">RB87</t>
  </si>
  <si>
    <t xml:space="preserve">Traded to GB into the Jacobs vacuum</t>
  </si>
  <si>
    <t xml:space="preserve">Tank Bigsby</t>
  </si>
  <si>
    <t xml:space="preserve">RB54</t>
  </si>
  <si>
    <t xml:space="preserve">Dylan Sampson</t>
  </si>
  <si>
    <t xml:space="preserve">RB56</t>
  </si>
  <si>
    <t xml:space="preserve">Ray Davis</t>
  </si>
  <si>
    <t xml:space="preserve">RB55</t>
  </si>
  <si>
    <t xml:space="preserve">Tank Dell</t>
  </si>
  <si>
    <t xml:space="preserve">WR74</t>
  </si>
  <si>
    <t xml:space="preserve">Short-term IR. IR-SLOT ELIGIBLE</t>
  </si>
  <si>
    <t xml:space="preserve">Kenyon Sadiq</t>
  </si>
  <si>
    <t xml:space="preserve">TE19</t>
  </si>
  <si>
    <t xml:space="preserve">Hernia setback; ESPN 35 ahead of industry</t>
  </si>
  <si>
    <t xml:space="preserve">Brenton Strange</t>
  </si>
  <si>
    <t xml:space="preserve">TE21</t>
  </si>
  <si>
    <t xml:space="preserve">Chig Okonkwo</t>
  </si>
  <si>
    <t xml:space="preserve">TE25</t>
  </si>
  <si>
    <t xml:space="preserve">Consensus sleeper; $10m/yr from WAS</t>
  </si>
  <si>
    <t xml:space="preserve">T.J. Hockenson</t>
  </si>
  <si>
    <t xml:space="preserve">TE16</t>
  </si>
  <si>
    <t xml:space="preserve">ESPN 57 AHEAD of industry - biggest TE trap</t>
  </si>
  <si>
    <t xml:space="preserve">Hunter Henry</t>
  </si>
  <si>
    <t xml:space="preserve">TE17</t>
  </si>
  <si>
    <t xml:space="preserve">ESPN 54 ahead; AJB+Doubs added</t>
  </si>
  <si>
    <t xml:space="preserve">Terrance Ferguson</t>
  </si>
  <si>
    <t xml:space="preserve">TE18</t>
  </si>
  <si>
    <t xml:space="preserve">ESPN 29 ahead of industry</t>
  </si>
  <si>
    <t xml:space="preserve">Juwan Johnson</t>
  </si>
  <si>
    <t xml:space="preserve">TE20</t>
  </si>
  <si>
    <t xml:space="preserve">Fant + Tyson added competition</t>
  </si>
  <si>
    <t xml:space="preserve">Najee Harris</t>
  </si>
  <si>
    <t xml:space="preserve">RB57</t>
  </si>
  <si>
    <t xml:space="preserve">Threatens Tracy for NYG RB2</t>
  </si>
  <si>
    <t xml:space="preserve">Alvin Kamara</t>
  </si>
  <si>
    <t xml:space="preserve">RB58</t>
  </si>
  <si>
    <t xml:space="preserve">Cooper Kupp</t>
  </si>
  <si>
    <t xml:space="preserve">WR83</t>
  </si>
  <si>
    <t xml:space="preserve">Travis Hunter</t>
  </si>
  <si>
    <t xml:space="preserve">WR62</t>
  </si>
  <si>
    <t xml:space="preserve">ESPN dropped him 91-&gt;147; still 57 ahead of industry</t>
  </si>
  <si>
    <t xml:space="preserve">Rashod Bateman</t>
  </si>
  <si>
    <t xml:space="preserve">WR68</t>
  </si>
  <si>
    <t xml:space="preserve">Jaylin Noel</t>
  </si>
  <si>
    <t xml:space="preserve">WR71</t>
  </si>
  <si>
    <t xml:space="preserve">Dontayvion Wicks</t>
  </si>
  <si>
    <t xml:space="preserve">WR69</t>
  </si>
  <si>
    <t xml:space="preserve">Devaughn Vele</t>
  </si>
  <si>
    <t xml:space="preserve">WR70</t>
  </si>
  <si>
    <t xml:space="preserve">Tyler Shough</t>
  </si>
  <si>
    <t xml:space="preserve">QB17</t>
  </si>
  <si>
    <t xml:space="preserve">Daniel Jones</t>
  </si>
  <si>
    <t xml:space="preserve">QB19</t>
  </si>
  <si>
    <t xml:space="preserve">Jordan Love</t>
  </si>
  <si>
    <t xml:space="preserve">QB22</t>
  </si>
  <si>
    <t xml:space="preserve">C.J. Stroud</t>
  </si>
  <si>
    <t xml:space="preserve">QB23</t>
  </si>
  <si>
    <t xml:space="preserve">Sam Darnold</t>
  </si>
  <si>
    <t xml:space="preserve">QB24</t>
  </si>
  <si>
    <t xml:space="preserve">Cam Ward</t>
  </si>
  <si>
    <t xml:space="preserve">QB26</t>
  </si>
  <si>
    <t xml:space="preserve">FADE: 54.2% comp, 0 TD on 24 preseason att, 69.1 rating</t>
  </si>
  <si>
    <t xml:space="preserve">T12 - D/ST (final pick)</t>
  </si>
  <si>
    <t xml:space="preserve">Texans D/ST</t>
  </si>
  <si>
    <t xml:space="preserve">DST</t>
  </si>
  <si>
    <t xml:space="preserve">DST1</t>
  </si>
  <si>
    <t xml:space="preserve">Wk1 vs BUF</t>
  </si>
  <si>
    <t xml:space="preserve">Broncos D/ST</t>
  </si>
  <si>
    <t xml:space="preserve">DST2</t>
  </si>
  <si>
    <t xml:space="preserve">Wk1 @KC</t>
  </si>
  <si>
    <t xml:space="preserve">Steelers D/ST</t>
  </si>
  <si>
    <t xml:space="preserve">DST3</t>
  </si>
  <si>
    <t xml:space="preserve">Wk1 vs ATL; consensus undervalued</t>
  </si>
  <si>
    <t xml:space="preserve">Rams D/ST</t>
  </si>
  <si>
    <t xml:space="preserve">DST5</t>
  </si>
  <si>
    <t xml:space="preserve">Wk1 vs SF; consensus says drafting at ceiling</t>
  </si>
  <si>
    <t xml:space="preserve">Seahawks D/ST</t>
  </si>
  <si>
    <t xml:space="preserve">DST4</t>
  </si>
  <si>
    <t xml:space="preserve">Wk1 vs NE</t>
  </si>
  <si>
    <t xml:space="preserve">Eagles D/ST</t>
  </si>
  <si>
    <t xml:space="preserve">DST7</t>
  </si>
  <si>
    <t xml:space="preserve">Wk1 vs WAS</t>
  </si>
  <si>
    <t xml:space="preserve">Ravens D/ST</t>
  </si>
  <si>
    <t xml:space="preserve">DST6</t>
  </si>
  <si>
    <t xml:space="preserve">Wk1 @IND</t>
  </si>
  <si>
    <t xml:space="preserve">Patriots D/ST</t>
  </si>
  <si>
    <t xml:space="preserve">DST9</t>
  </si>
  <si>
    <t xml:space="preserve">Wk1 @SEA</t>
  </si>
  <si>
    <t xml:space="preserve">Browns D/ST</t>
  </si>
  <si>
    <t xml:space="preserve">DST8</t>
  </si>
  <si>
    <t xml:space="preserve">Wk1 @JAX</t>
  </si>
  <si>
    <t xml:space="preserve">Lions D/ST</t>
  </si>
  <si>
    <t xml:space="preserve">DST10</t>
  </si>
  <si>
    <t xml:space="preserve">Wk1 vs NO</t>
  </si>
  <si>
    <t xml:space="preserve">Chiefs D/ST</t>
  </si>
  <si>
    <t xml:space="preserve">DST11</t>
  </si>
  <si>
    <t xml:space="preserve">Wk1 vs DEN</t>
  </si>
  <si>
    <t xml:space="preserve">Chargers D/ST</t>
  </si>
  <si>
    <t xml:space="preserve">DST12</t>
  </si>
  <si>
    <t xml:space="preserve">Wk1 vs ARZ</t>
  </si>
  <si>
    <t xml:space="preserve">2026 DRAFT BOARD - METHOD &amp; LEGEND</t>
  </si>
  <si>
    <t xml:space="preserve">League: 'Boys Rule Girls Drule' | 10-team | Full PPR | Snake | Draft Sep 4 2026 8:00pm EDT</t>
  </si>
  <si>
    <t xml:space="preserve">Lineup: QB / RB / RB / WR / WR / WR-TE / TE / FLEX / D-ST | 16 roster, 7 bench, 3 IR | NO KICKER</t>
  </si>
  <si>
    <t xml:space="preserve">SOURCES</t>
  </si>
  <si>
    <t xml:space="preserve">ESPN Ovr / ESPN Pos / ESPN $ : ESPN Fantasy Draft Kit, PPR Top 300 cheat sheet, last update Mon Aug 31 2026.</t>
  </si>
  <si>
    <t xml:space="preserve">   ESPN's sheet assumes 10 teams, 1QB/2RB/2WR/1TE/1FLEX/1K/1DST/7BE - same size as ours, K swapped for WR-TE.</t>
  </si>
  <si>
    <t xml:space="preserve">Industry ADP : four-source average from RotoWire, Jerry Donabedian, Aug 21 2026 =</t>
  </si>
  <si>
    <t xml:space="preserve">   Fantrax redraft PPR + Drafters best ball + NFFC August high-stakes + Donabedian's own PPR ranks.</t>
  </si>
  <si>
    <t xml:space="preserve">   Blank where that article did not list the player.</t>
  </si>
  <si>
    <t xml:space="preserve">News layer : reporting through Sept 1 2026. See FLAGS column.</t>
  </si>
  <si>
    <t xml:space="preserve">League history : 2023-2025 draft boards and final standings supplied by the user (all 10 managers identical to 2026).</t>
  </si>
  <si>
    <t xml:space="preserve">HOW MY RANK IS BUILT</t>
  </si>
  <si>
    <t xml:space="preserve">Base = blend of ESPN Aug-31 board and the industry four-source average, then three adjustment layers:</t>
  </si>
  <si>
    <t xml:space="preserve">(1) NEWS - availability discount for Jacobs (exempt list), Love and Jeanty (ankles), Rice, Hall, Kittle, Egbuka,</t>
  </si>
  <si>
    <t xml:space="preserve">    Burden; promotion for the beneficiaries (MarShawn Lloyd, Allgeier, Mike Washington Jr., Emmett Johnson, Olave).</t>
  </si>
  <si>
    <t xml:space="preserve">(2) LEAGUE DRAFT TRENDS, 3 YEARS - QBs pushed DOWN: 10 teams, 1 QB, 4-pt passing TD, and six QBs come off the</t>
  </si>
  <si>
    <t xml:space="preserve">    board by pick 60 every single year regardless of what you do, with startable arms still there at pick 130.</t>
  </si>
  <si>
    <t xml:space="preserve">    TE1-10 held at ESPN level: 8-10 TEs are gone by roughly pick 90 in each of the last three drafts, so the</t>
  </si>
  <si>
    <t xml:space="preserve">    position is binary - elite tier early or be inside the pick 73-92 run. TE11+ pushed down hard.</t>
  </si>
  <si>
    <t xml:space="preserve">    RB scarcity respected: the league ran 7 RBs in round 2 in 2025 and 23 RBs inside the top 50 picks.</t>
  </si>
  <si>
    <t xml:space="preserve">(3) LEAGUE STRUCTURE -</t>
  </si>
  <si>
    <t xml:space="preserve">    Kickers deleted entirely (no K slot; ESPN's first K is overall 181, outside a 160-pick draft anyway).</t>
  </si>
  <si>
    <t xml:space="preserve">    WR replacement level moves from ~WR25 (ESPN's 2-WR assumption) to ~WR35 (our 2 WR + WR-TE + FLEX).</t>
  </si>
  <si>
    <t xml:space="preserve">       Effect: the WR20-45 band is worth more to us than to the league ESPN built this sheet for.</t>
  </si>
  <si>
    <t xml:space="preserve">    Week 14 bye penalty: 14 regular-season matchups means Wk14 is the LAST week before playoffs.</t>
  </si>
  <si>
    <t xml:space="preserve">       Cardinals and Cowboys are on bye. Applied to Lamb, Pickens, Javonte, McBride, MHJ, Ferguson, Love, Allgeier.</t>
  </si>
  <si>
    <t xml:space="preserve">    Week 11 congestion flag: six teams on bye (ATL, CLE, GB, LAR, NE, SEA). Avoid stacking.</t>
  </si>
  <si>
    <t xml:space="preserve">    IR bonus: 3 IR slots and NO FAAB (waivers reset to inverse standings), so IR-eligible injured players</t>
  </si>
  <si>
    <t xml:space="preserve">       cost zero roster spots and handcuffs cannot be bought later. Both promoted in the endgame tiers.</t>
  </si>
  <si>
    <t xml:space="preserve">COLUMN GUIDE</t>
  </si>
  <si>
    <t xml:space="preserve">MY RANK        My board. Draft in this order, subject to positional need.</t>
  </si>
  <si>
    <t xml:space="preserve">DELTA          = ESPN Ovr - My Rank. POSITIVE means ESPN ranks him LATER than I do, so he should</t>
  </si>
  <si>
    <t xml:space="preserve">               fall to you - these are the targets. NEGATIVE means the room will take him before I would.</t>
  </si>
  <si>
    <t xml:space="preserve">ESPN $         ESPN's salary-cap value, 10 teams / $200. Everything from ESPN rank 141 down is $0,</t>
  </si>
  <si>
    <t xml:space="preserve">               i.e. ESPN sees no value difference across your last two rounds.</t>
  </si>
  <si>
    <t xml:space="preserve">FLAGS          Injury, availability, bye, and value notes as of Sept 1 2026.</t>
  </si>
  <si>
    <t xml:space="preserve">KNOWN LIMITS</t>
  </si>
  <si>
    <t xml:space="preserve">Industry ADP column is 11 days older than the ESPN column; it pre-dates the Jacobs exempt-list news.</t>
  </si>
  <si>
    <t xml:space="preserve">ESPN updates its board daily - re-check Love, Jeanty, Jacobs and Conner in the live draft room before Friday.</t>
  </si>
  <si>
    <t xml:space="preserve">Bye weeks are taken from the ESPN cheat sheet's own bye table.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</si>
</sst>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EEBF7"/>
      </patternFill>
    </fill>
    <fill>
      <patternFill patternType="solid">
        <fgColor rgb="FFE2EFDA"/>
        <bgColor rgb="FFEDEDED"/>
      </patternFill>
    </fill>
    <fill>
      <patternFill patternType="solid">
        <fgColor rgb="FFDE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DED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8"/>
    <col collapsed="false" customWidth="true" hidden="false" outlineLevel="0" max="13" min="13" style="0" width="6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2" t="n">
        <v>1</v>
      </c>
      <c r="C2" s="3" t="s">
        <v>13</v>
      </c>
      <c r="D2" s="4" t="s">
        <v>14</v>
      </c>
      <c r="E2" s="2" t="s">
        <v>15</v>
      </c>
      <c r="F2" s="2" t="s">
        <v>16</v>
      </c>
      <c r="G2" s="2" t="n">
        <v>6</v>
      </c>
      <c r="H2" s="2" t="n">
        <v>1</v>
      </c>
      <c r="I2" s="2" t="s">
        <v>17</v>
      </c>
      <c r="J2" s="3" t="n">
        <v>1.3</v>
      </c>
      <c r="K2" s="2" t="n">
        <f aca="false">IF(H2="","",H2-A2)</f>
        <v>0</v>
      </c>
      <c r="L2" s="2" t="n">
        <v>57</v>
      </c>
      <c r="M2" s="3"/>
    </row>
    <row r="3" customFormat="false" ht="15" hidden="false" customHeight="false" outlineLevel="0" collapsed="false">
      <c r="A3" s="5" t="n">
        <v>2</v>
      </c>
      <c r="B3" s="5" t="n">
        <v>1</v>
      </c>
      <c r="C3" s="6" t="s">
        <v>13</v>
      </c>
      <c r="D3" s="7" t="s">
        <v>18</v>
      </c>
      <c r="E3" s="8" t="s">
        <v>15</v>
      </c>
      <c r="F3" s="5" t="s">
        <v>19</v>
      </c>
      <c r="G3" s="5" t="n">
        <v>11</v>
      </c>
      <c r="H3" s="5" t="n">
        <v>2</v>
      </c>
      <c r="I3" s="5" t="s">
        <v>20</v>
      </c>
      <c r="J3" s="6" t="n">
        <v>2.3</v>
      </c>
      <c r="K3" s="5" t="n">
        <f aca="false">IF(H3="","",H3-A3)</f>
        <v>0</v>
      </c>
      <c r="L3" s="5" t="n">
        <v>56</v>
      </c>
      <c r="M3" s="6"/>
    </row>
    <row r="4" customFormat="false" ht="15" hidden="false" customHeight="false" outlineLevel="0" collapsed="false">
      <c r="A4" s="5" t="n">
        <v>3</v>
      </c>
      <c r="B4" s="5" t="n">
        <v>1</v>
      </c>
      <c r="C4" s="6" t="s">
        <v>13</v>
      </c>
      <c r="D4" s="7" t="s">
        <v>21</v>
      </c>
      <c r="E4" s="9" t="s">
        <v>22</v>
      </c>
      <c r="F4" s="5" t="s">
        <v>23</v>
      </c>
      <c r="G4" s="5" t="n">
        <v>6</v>
      </c>
      <c r="H4" s="5" t="n">
        <v>3</v>
      </c>
      <c r="I4" s="5" t="s">
        <v>24</v>
      </c>
      <c r="J4" s="6" t="n">
        <v>3.4</v>
      </c>
      <c r="K4" s="5" t="n">
        <f aca="false">IF(H4="","",H4-A4)</f>
        <v>0</v>
      </c>
      <c r="L4" s="5" t="n">
        <v>56</v>
      </c>
      <c r="M4" s="10" t="s">
        <v>25</v>
      </c>
    </row>
    <row r="5" customFormat="false" ht="15" hidden="false" customHeight="false" outlineLevel="0" collapsed="false">
      <c r="A5" s="5" t="n">
        <v>4</v>
      </c>
      <c r="B5" s="5" t="n">
        <v>1</v>
      </c>
      <c r="C5" s="6" t="s">
        <v>13</v>
      </c>
      <c r="D5" s="7" t="s">
        <v>26</v>
      </c>
      <c r="E5" s="9" t="s">
        <v>22</v>
      </c>
      <c r="F5" s="5" t="s">
        <v>27</v>
      </c>
      <c r="G5" s="5" t="n">
        <v>11</v>
      </c>
      <c r="H5" s="5" t="n">
        <v>4</v>
      </c>
      <c r="I5" s="5" t="s">
        <v>28</v>
      </c>
      <c r="J5" s="6" t="n">
        <v>4.6</v>
      </c>
      <c r="K5" s="5" t="n">
        <f aca="false">IF(H5="","",H5-A5)</f>
        <v>0</v>
      </c>
      <c r="L5" s="5" t="n">
        <v>55</v>
      </c>
      <c r="M5" s="6"/>
    </row>
    <row r="6" customFormat="false" ht="15" hidden="false" customHeight="false" outlineLevel="0" collapsed="false">
      <c r="A6" s="5" t="n">
        <v>5</v>
      </c>
      <c r="B6" s="5" t="n">
        <v>1</v>
      </c>
      <c r="C6" s="6" t="s">
        <v>13</v>
      </c>
      <c r="D6" s="7" t="s">
        <v>29</v>
      </c>
      <c r="E6" s="9" t="s">
        <v>22</v>
      </c>
      <c r="F6" s="5" t="s">
        <v>30</v>
      </c>
      <c r="G6" s="5" t="n">
        <v>11</v>
      </c>
      <c r="H6" s="5" t="n">
        <v>5</v>
      </c>
      <c r="I6" s="5" t="s">
        <v>31</v>
      </c>
      <c r="J6" s="6" t="n">
        <v>6.1</v>
      </c>
      <c r="K6" s="5" t="n">
        <f aca="false">IF(H6="","",H6-A6)</f>
        <v>0</v>
      </c>
      <c r="L6" s="5" t="n">
        <v>54</v>
      </c>
      <c r="M6" s="6"/>
    </row>
    <row r="7" customFormat="false" ht="15" hidden="false" customHeight="false" outlineLevel="0" collapsed="false">
      <c r="A7" s="2" t="n">
        <v>6</v>
      </c>
      <c r="B7" s="2" t="n">
        <v>2</v>
      </c>
      <c r="C7" s="3" t="s">
        <v>32</v>
      </c>
      <c r="D7" s="4" t="s">
        <v>33</v>
      </c>
      <c r="E7" s="2" t="s">
        <v>15</v>
      </c>
      <c r="F7" s="2" t="s">
        <v>34</v>
      </c>
      <c r="G7" s="2" t="n">
        <v>8</v>
      </c>
      <c r="H7" s="2" t="n">
        <v>6</v>
      </c>
      <c r="I7" s="2" t="s">
        <v>35</v>
      </c>
      <c r="J7" s="3" t="n">
        <v>6.3</v>
      </c>
      <c r="K7" s="2" t="n">
        <f aca="false">IF(H7="","",H7-A7)</f>
        <v>0</v>
      </c>
      <c r="L7" s="2" t="n">
        <v>53</v>
      </c>
      <c r="M7" s="10" t="s">
        <v>36</v>
      </c>
    </row>
    <row r="8" customFormat="false" ht="15" hidden="false" customHeight="false" outlineLevel="0" collapsed="false">
      <c r="A8" s="5" t="n">
        <v>7</v>
      </c>
      <c r="B8" s="5" t="n">
        <v>2</v>
      </c>
      <c r="C8" s="6" t="s">
        <v>32</v>
      </c>
      <c r="D8" s="7" t="s">
        <v>37</v>
      </c>
      <c r="E8" s="9" t="s">
        <v>22</v>
      </c>
      <c r="F8" s="5" t="s">
        <v>16</v>
      </c>
      <c r="G8" s="5" t="n">
        <v>6</v>
      </c>
      <c r="H8" s="5" t="n">
        <v>8</v>
      </c>
      <c r="I8" s="5" t="s">
        <v>38</v>
      </c>
      <c r="J8" s="6" t="n">
        <v>7.4</v>
      </c>
      <c r="K8" s="5" t="n">
        <f aca="false">IF(H8="","",H8-A8)</f>
        <v>1</v>
      </c>
      <c r="L8" s="5" t="n">
        <v>52</v>
      </c>
      <c r="M8" s="6"/>
    </row>
    <row r="9" customFormat="false" ht="15" hidden="false" customHeight="false" outlineLevel="0" collapsed="false">
      <c r="A9" s="5" t="n">
        <v>8</v>
      </c>
      <c r="B9" s="5" t="n">
        <v>2</v>
      </c>
      <c r="C9" s="6" t="s">
        <v>32</v>
      </c>
      <c r="D9" s="7" t="s">
        <v>39</v>
      </c>
      <c r="E9" s="8" t="s">
        <v>15</v>
      </c>
      <c r="F9" s="5" t="s">
        <v>40</v>
      </c>
      <c r="G9" s="5" t="n">
        <v>13</v>
      </c>
      <c r="H9" s="5" t="n">
        <v>7</v>
      </c>
      <c r="I9" s="5" t="s">
        <v>41</v>
      </c>
      <c r="J9" s="6" t="n">
        <v>8.5</v>
      </c>
      <c r="K9" s="5" t="n">
        <f aca="false">IF(H9="","",H9-A9)</f>
        <v>-1</v>
      </c>
      <c r="L9" s="5" t="n">
        <v>52</v>
      </c>
      <c r="M9" s="6"/>
    </row>
    <row r="10" customFormat="false" ht="15" hidden="false" customHeight="false" outlineLevel="0" collapsed="false">
      <c r="A10" s="5" t="n">
        <v>9</v>
      </c>
      <c r="B10" s="5" t="n">
        <v>2</v>
      </c>
      <c r="C10" s="6" t="s">
        <v>32</v>
      </c>
      <c r="D10" s="7" t="s">
        <v>42</v>
      </c>
      <c r="E10" s="8" t="s">
        <v>15</v>
      </c>
      <c r="F10" s="5" t="s">
        <v>43</v>
      </c>
      <c r="G10" s="5" t="n">
        <v>6</v>
      </c>
      <c r="H10" s="5" t="n">
        <v>11</v>
      </c>
      <c r="I10" s="5" t="s">
        <v>44</v>
      </c>
      <c r="J10" s="6" t="n">
        <v>15.4</v>
      </c>
      <c r="K10" s="5" t="n">
        <f aca="false">IF(H10="","",H10-A10)</f>
        <v>2</v>
      </c>
      <c r="L10" s="5" t="n">
        <v>48</v>
      </c>
      <c r="M10" s="10" t="s">
        <v>45</v>
      </c>
    </row>
    <row r="11" customFormat="false" ht="15" hidden="false" customHeight="false" outlineLevel="0" collapsed="false">
      <c r="A11" s="5" t="n">
        <v>10</v>
      </c>
      <c r="B11" s="5" t="n">
        <v>2</v>
      </c>
      <c r="C11" s="6" t="s">
        <v>32</v>
      </c>
      <c r="D11" s="7" t="s">
        <v>46</v>
      </c>
      <c r="E11" s="9" t="s">
        <v>22</v>
      </c>
      <c r="F11" s="5" t="s">
        <v>47</v>
      </c>
      <c r="G11" s="5" t="n">
        <v>6</v>
      </c>
      <c r="H11" s="5" t="n">
        <v>10</v>
      </c>
      <c r="I11" s="5" t="s">
        <v>48</v>
      </c>
      <c r="J11" s="6" t="n">
        <v>13.4</v>
      </c>
      <c r="K11" s="5" t="n">
        <f aca="false">IF(H11="","",H11-A11)</f>
        <v>0</v>
      </c>
      <c r="L11" s="5" t="n">
        <v>50</v>
      </c>
      <c r="M11" s="10" t="s">
        <v>49</v>
      </c>
    </row>
    <row r="12" customFormat="false" ht="15" hidden="false" customHeight="false" outlineLevel="0" collapsed="false">
      <c r="A12" s="5" t="n">
        <v>11</v>
      </c>
      <c r="B12" s="5" t="n">
        <v>2</v>
      </c>
      <c r="C12" s="6" t="s">
        <v>32</v>
      </c>
      <c r="D12" s="7" t="s">
        <v>50</v>
      </c>
      <c r="E12" s="9" t="s">
        <v>22</v>
      </c>
      <c r="F12" s="5" t="s">
        <v>51</v>
      </c>
      <c r="G12" s="5" t="n">
        <v>14</v>
      </c>
      <c r="H12" s="5" t="n">
        <v>9</v>
      </c>
      <c r="I12" s="5" t="s">
        <v>52</v>
      </c>
      <c r="J12" s="6" t="n">
        <v>11</v>
      </c>
      <c r="K12" s="5" t="n">
        <f aca="false">IF(H12="","",H12-A12)</f>
        <v>-2</v>
      </c>
      <c r="L12" s="5" t="n">
        <v>51</v>
      </c>
      <c r="M12" s="10" t="s">
        <v>53</v>
      </c>
    </row>
    <row r="13" customFormat="false" ht="15" hidden="false" customHeight="false" outlineLevel="0" collapsed="false">
      <c r="A13" s="2" t="n">
        <v>12</v>
      </c>
      <c r="B13" s="2" t="n">
        <v>3</v>
      </c>
      <c r="C13" s="3" t="s">
        <v>54</v>
      </c>
      <c r="D13" s="4" t="s">
        <v>55</v>
      </c>
      <c r="E13" s="2" t="s">
        <v>15</v>
      </c>
      <c r="F13" s="2" t="s">
        <v>56</v>
      </c>
      <c r="G13" s="2" t="n">
        <v>7</v>
      </c>
      <c r="H13" s="2" t="n">
        <v>12</v>
      </c>
      <c r="I13" s="2" t="s">
        <v>57</v>
      </c>
      <c r="J13" s="3" t="n">
        <v>10.9</v>
      </c>
      <c r="K13" s="2" t="n">
        <f aca="false">IF(H13="","",H13-A13)</f>
        <v>0</v>
      </c>
      <c r="L13" s="2" t="n">
        <v>46</v>
      </c>
      <c r="M13" s="3"/>
    </row>
    <row r="14" customFormat="false" ht="15" hidden="false" customHeight="false" outlineLevel="0" collapsed="false">
      <c r="A14" s="5" t="n">
        <v>13</v>
      </c>
      <c r="B14" s="5" t="n">
        <v>3</v>
      </c>
      <c r="C14" s="6" t="s">
        <v>54</v>
      </c>
      <c r="D14" s="7" t="s">
        <v>58</v>
      </c>
      <c r="E14" s="11" t="s">
        <v>59</v>
      </c>
      <c r="F14" s="5" t="s">
        <v>60</v>
      </c>
      <c r="G14" s="5" t="n">
        <v>13</v>
      </c>
      <c r="H14" s="5" t="n">
        <v>21</v>
      </c>
      <c r="I14" s="5" t="s">
        <v>61</v>
      </c>
      <c r="J14" s="6" t="n">
        <v>18.2</v>
      </c>
      <c r="K14" s="5" t="n">
        <f aca="false">IF(H14="","",H14-A14)</f>
        <v>8</v>
      </c>
      <c r="L14" s="5" t="n">
        <v>34</v>
      </c>
      <c r="M14" s="10" t="s">
        <v>62</v>
      </c>
    </row>
    <row r="15" customFormat="false" ht="15" hidden="false" customHeight="false" outlineLevel="0" collapsed="false">
      <c r="A15" s="5" t="n">
        <v>14</v>
      </c>
      <c r="B15" s="5" t="n">
        <v>3</v>
      </c>
      <c r="C15" s="6" t="s">
        <v>54</v>
      </c>
      <c r="D15" s="7" t="s">
        <v>63</v>
      </c>
      <c r="E15" s="9" t="s">
        <v>22</v>
      </c>
      <c r="F15" s="5" t="s">
        <v>64</v>
      </c>
      <c r="G15" s="5" t="n">
        <v>8</v>
      </c>
      <c r="H15" s="5" t="n">
        <v>25</v>
      </c>
      <c r="I15" s="5" t="s">
        <v>65</v>
      </c>
      <c r="J15" s="6" t="n">
        <v>21.5</v>
      </c>
      <c r="K15" s="5" t="n">
        <f aca="false">IF(H15="","",H15-A15)</f>
        <v>11</v>
      </c>
      <c r="L15" s="5" t="n">
        <v>31</v>
      </c>
      <c r="M15" s="10" t="s">
        <v>66</v>
      </c>
    </row>
    <row r="16" customFormat="false" ht="15" hidden="false" customHeight="false" outlineLevel="0" collapsed="false">
      <c r="A16" s="5" t="n">
        <v>15</v>
      </c>
      <c r="B16" s="5" t="n">
        <v>3</v>
      </c>
      <c r="C16" s="6" t="s">
        <v>54</v>
      </c>
      <c r="D16" s="7" t="s">
        <v>67</v>
      </c>
      <c r="E16" s="9" t="s">
        <v>22</v>
      </c>
      <c r="F16" s="5" t="s">
        <v>68</v>
      </c>
      <c r="G16" s="5" t="n">
        <v>11</v>
      </c>
      <c r="H16" s="5" t="n">
        <v>26</v>
      </c>
      <c r="I16" s="5" t="s">
        <v>69</v>
      </c>
      <c r="J16" s="6" t="n">
        <v>19.5</v>
      </c>
      <c r="K16" s="5" t="n">
        <f aca="false">IF(H16="","",H16-A16)</f>
        <v>11</v>
      </c>
      <c r="L16" s="5" t="n">
        <v>30</v>
      </c>
      <c r="M16" s="10" t="s">
        <v>70</v>
      </c>
    </row>
    <row r="17" customFormat="false" ht="15" hidden="false" customHeight="false" outlineLevel="0" collapsed="false">
      <c r="A17" s="5" t="n">
        <v>16</v>
      </c>
      <c r="B17" s="5" t="n">
        <v>3</v>
      </c>
      <c r="C17" s="6" t="s">
        <v>54</v>
      </c>
      <c r="D17" s="7" t="s">
        <v>71</v>
      </c>
      <c r="E17" s="8" t="s">
        <v>15</v>
      </c>
      <c r="F17" s="5" t="s">
        <v>72</v>
      </c>
      <c r="G17" s="5" t="n">
        <v>10</v>
      </c>
      <c r="H17" s="5" t="n">
        <v>15</v>
      </c>
      <c r="I17" s="5" t="s">
        <v>73</v>
      </c>
      <c r="J17" s="6" t="n">
        <v>15.3</v>
      </c>
      <c r="K17" s="5" t="n">
        <f aca="false">IF(H17="","",H17-A17)</f>
        <v>-1</v>
      </c>
      <c r="L17" s="5" t="n">
        <v>42</v>
      </c>
      <c r="M17" s="6"/>
    </row>
    <row r="18" customFormat="false" ht="15" hidden="false" customHeight="false" outlineLevel="0" collapsed="false">
      <c r="A18" s="5" t="n">
        <v>17</v>
      </c>
      <c r="B18" s="5" t="n">
        <v>3</v>
      </c>
      <c r="C18" s="6" t="s">
        <v>54</v>
      </c>
      <c r="D18" s="7" t="s">
        <v>74</v>
      </c>
      <c r="E18" s="8" t="s">
        <v>15</v>
      </c>
      <c r="F18" s="5" t="s">
        <v>75</v>
      </c>
      <c r="G18" s="5" t="n">
        <v>7</v>
      </c>
      <c r="H18" s="5" t="n">
        <v>22</v>
      </c>
      <c r="I18" s="5" t="s">
        <v>76</v>
      </c>
      <c r="J18" s="6" t="n">
        <v>16.1</v>
      </c>
      <c r="K18" s="5" t="n">
        <f aca="false">IF(H18="","",H18-A18)</f>
        <v>5</v>
      </c>
      <c r="L18" s="5" t="n">
        <v>33</v>
      </c>
      <c r="M18" s="10" t="s">
        <v>77</v>
      </c>
    </row>
    <row r="19" customFormat="false" ht="15" hidden="false" customHeight="false" outlineLevel="0" collapsed="false">
      <c r="A19" s="5" t="n">
        <v>18</v>
      </c>
      <c r="B19" s="5" t="n">
        <v>3</v>
      </c>
      <c r="C19" s="6" t="s">
        <v>54</v>
      </c>
      <c r="D19" s="7" t="s">
        <v>78</v>
      </c>
      <c r="E19" s="8" t="s">
        <v>15</v>
      </c>
      <c r="F19" s="5" t="s">
        <v>79</v>
      </c>
      <c r="G19" s="5" t="n">
        <v>13</v>
      </c>
      <c r="H19" s="5" t="n">
        <v>16</v>
      </c>
      <c r="I19" s="5" t="s">
        <v>80</v>
      </c>
      <c r="J19" s="6" t="n">
        <v>20.7</v>
      </c>
      <c r="K19" s="5" t="n">
        <f aca="false">IF(H19="","",H19-A19)</f>
        <v>-2</v>
      </c>
      <c r="L19" s="5" t="n">
        <v>40</v>
      </c>
      <c r="M19" s="6"/>
    </row>
    <row r="20" customFormat="false" ht="15" hidden="false" customHeight="false" outlineLevel="0" collapsed="false">
      <c r="A20" s="5" t="n">
        <v>19</v>
      </c>
      <c r="B20" s="5" t="n">
        <v>3</v>
      </c>
      <c r="C20" s="6" t="s">
        <v>54</v>
      </c>
      <c r="D20" s="7" t="s">
        <v>81</v>
      </c>
      <c r="E20" s="9" t="s">
        <v>22</v>
      </c>
      <c r="F20" s="5" t="s">
        <v>19</v>
      </c>
      <c r="G20" s="5" t="n">
        <v>11</v>
      </c>
      <c r="H20" s="5" t="n">
        <v>14</v>
      </c>
      <c r="I20" s="5" t="s">
        <v>82</v>
      </c>
      <c r="J20" s="6" t="n">
        <v>20</v>
      </c>
      <c r="K20" s="5" t="n">
        <f aca="false">IF(H20="","",H20-A20)</f>
        <v>-5</v>
      </c>
      <c r="L20" s="5" t="n">
        <v>43</v>
      </c>
      <c r="M20" s="10" t="s">
        <v>83</v>
      </c>
    </row>
    <row r="21" customFormat="false" ht="15" hidden="false" customHeight="false" outlineLevel="0" collapsed="false">
      <c r="A21" s="5" t="n">
        <v>20</v>
      </c>
      <c r="B21" s="5" t="n">
        <v>3</v>
      </c>
      <c r="C21" s="6" t="s">
        <v>54</v>
      </c>
      <c r="D21" s="7" t="s">
        <v>84</v>
      </c>
      <c r="E21" s="9" t="s">
        <v>22</v>
      </c>
      <c r="F21" s="5" t="s">
        <v>85</v>
      </c>
      <c r="G21" s="5" t="n">
        <v>8</v>
      </c>
      <c r="H21" s="5" t="n">
        <v>27</v>
      </c>
      <c r="I21" s="5" t="s">
        <v>86</v>
      </c>
      <c r="J21" s="6" t="n">
        <v>26.2</v>
      </c>
      <c r="K21" s="5" t="n">
        <f aca="false">IF(H21="","",H21-A21)</f>
        <v>7</v>
      </c>
      <c r="L21" s="5" t="n">
        <v>30</v>
      </c>
      <c r="M21" s="10" t="s">
        <v>87</v>
      </c>
    </row>
    <row r="22" customFormat="false" ht="15" hidden="false" customHeight="false" outlineLevel="0" collapsed="false">
      <c r="A22" s="5" t="n">
        <v>21</v>
      </c>
      <c r="B22" s="5" t="n">
        <v>3</v>
      </c>
      <c r="C22" s="6" t="s">
        <v>54</v>
      </c>
      <c r="D22" s="7" t="s">
        <v>88</v>
      </c>
      <c r="E22" s="8" t="s">
        <v>15</v>
      </c>
      <c r="F22" s="5" t="s">
        <v>23</v>
      </c>
      <c r="G22" s="5" t="n">
        <v>6</v>
      </c>
      <c r="H22" s="5" t="n">
        <v>19</v>
      </c>
      <c r="I22" s="5" t="s">
        <v>89</v>
      </c>
      <c r="J22" s="6" t="n">
        <v>16</v>
      </c>
      <c r="K22" s="5" t="n">
        <f aca="false">IF(H22="","",H22-A22)</f>
        <v>-2</v>
      </c>
      <c r="L22" s="5" t="n">
        <v>36</v>
      </c>
      <c r="M22" s="6"/>
    </row>
    <row r="23" customFormat="false" ht="15" hidden="false" customHeight="false" outlineLevel="0" collapsed="false">
      <c r="A23" s="5" t="n">
        <v>22</v>
      </c>
      <c r="B23" s="5" t="n">
        <v>3</v>
      </c>
      <c r="C23" s="6" t="s">
        <v>54</v>
      </c>
      <c r="D23" s="7" t="s">
        <v>90</v>
      </c>
      <c r="E23" s="8" t="s">
        <v>15</v>
      </c>
      <c r="F23" s="5" t="s">
        <v>91</v>
      </c>
      <c r="G23" s="5" t="n">
        <v>5</v>
      </c>
      <c r="H23" s="5" t="n">
        <v>18</v>
      </c>
      <c r="I23" s="5" t="s">
        <v>92</v>
      </c>
      <c r="J23" s="6" t="n">
        <v>18.6</v>
      </c>
      <c r="K23" s="5" t="n">
        <f aca="false">IF(H23="","",H23-A23)</f>
        <v>-4</v>
      </c>
      <c r="L23" s="5" t="n">
        <v>37</v>
      </c>
      <c r="M23" s="10" t="s">
        <v>93</v>
      </c>
    </row>
    <row r="24" customFormat="false" ht="15" hidden="false" customHeight="false" outlineLevel="0" collapsed="false">
      <c r="A24" s="2" t="n">
        <v>23</v>
      </c>
      <c r="B24" s="2" t="n">
        <v>4</v>
      </c>
      <c r="C24" s="3" t="s">
        <v>94</v>
      </c>
      <c r="D24" s="4" t="s">
        <v>95</v>
      </c>
      <c r="E24" s="2" t="s">
        <v>22</v>
      </c>
      <c r="F24" s="2" t="s">
        <v>96</v>
      </c>
      <c r="G24" s="2" t="n">
        <v>8</v>
      </c>
      <c r="H24" s="2" t="n">
        <v>28</v>
      </c>
      <c r="I24" s="2" t="s">
        <v>97</v>
      </c>
      <c r="J24" s="3" t="n">
        <v>25.9</v>
      </c>
      <c r="K24" s="2" t="n">
        <f aca="false">IF(H24="","",H24-A24)</f>
        <v>5</v>
      </c>
      <c r="L24" s="2" t="n">
        <v>29</v>
      </c>
      <c r="M24" s="3"/>
    </row>
    <row r="25" customFormat="false" ht="15" hidden="false" customHeight="false" outlineLevel="0" collapsed="false">
      <c r="A25" s="5" t="n">
        <v>24</v>
      </c>
      <c r="B25" s="5" t="n">
        <v>4</v>
      </c>
      <c r="C25" s="6" t="s">
        <v>94</v>
      </c>
      <c r="D25" s="7" t="s">
        <v>98</v>
      </c>
      <c r="E25" s="9" t="s">
        <v>22</v>
      </c>
      <c r="F25" s="5" t="s">
        <v>51</v>
      </c>
      <c r="G25" s="5" t="n">
        <v>14</v>
      </c>
      <c r="H25" s="5" t="n">
        <v>31</v>
      </c>
      <c r="I25" s="5" t="s">
        <v>99</v>
      </c>
      <c r="J25" s="6" t="n">
        <v>24.3</v>
      </c>
      <c r="K25" s="5" t="n">
        <f aca="false">IF(H25="","",H25-A25)</f>
        <v>7</v>
      </c>
      <c r="L25" s="5" t="n">
        <v>26</v>
      </c>
      <c r="M25" s="10" t="s">
        <v>100</v>
      </c>
    </row>
    <row r="26" customFormat="false" ht="15" hidden="false" customHeight="false" outlineLevel="0" collapsed="false">
      <c r="A26" s="5" t="n">
        <v>25</v>
      </c>
      <c r="B26" s="5" t="n">
        <v>4</v>
      </c>
      <c r="C26" s="6" t="s">
        <v>94</v>
      </c>
      <c r="D26" s="7" t="s">
        <v>101</v>
      </c>
      <c r="E26" s="11" t="s">
        <v>59</v>
      </c>
      <c r="F26" s="5" t="s">
        <v>102</v>
      </c>
      <c r="G26" s="5" t="n">
        <v>14</v>
      </c>
      <c r="H26" s="5" t="n">
        <v>20</v>
      </c>
      <c r="I26" s="5" t="s">
        <v>103</v>
      </c>
      <c r="J26" s="6" t="n">
        <v>28.2</v>
      </c>
      <c r="K26" s="5" t="n">
        <f aca="false">IF(H26="","",H26-A26)</f>
        <v>-5</v>
      </c>
      <c r="L26" s="5" t="n">
        <v>35</v>
      </c>
      <c r="M26" s="10" t="s">
        <v>104</v>
      </c>
    </row>
    <row r="27" customFormat="false" ht="15" hidden="false" customHeight="false" outlineLevel="0" collapsed="false">
      <c r="A27" s="5" t="n">
        <v>26</v>
      </c>
      <c r="B27" s="5" t="n">
        <v>4</v>
      </c>
      <c r="C27" s="6" t="s">
        <v>94</v>
      </c>
      <c r="D27" s="7" t="s">
        <v>105</v>
      </c>
      <c r="E27" s="9" t="s">
        <v>22</v>
      </c>
      <c r="F27" s="5" t="s">
        <v>106</v>
      </c>
      <c r="G27" s="5" t="n">
        <v>13</v>
      </c>
      <c r="H27" s="5" t="n">
        <v>29</v>
      </c>
      <c r="I27" s="5" t="s">
        <v>107</v>
      </c>
      <c r="J27" s="6" t="n">
        <v>36.9</v>
      </c>
      <c r="K27" s="5" t="n">
        <f aca="false">IF(H27="","",H27-A27)</f>
        <v>3</v>
      </c>
      <c r="L27" s="5" t="n">
        <v>28</v>
      </c>
      <c r="M27" s="6"/>
    </row>
    <row r="28" customFormat="false" ht="15" hidden="false" customHeight="false" outlineLevel="0" collapsed="false">
      <c r="A28" s="5" t="n">
        <v>27</v>
      </c>
      <c r="B28" s="5" t="n">
        <v>4</v>
      </c>
      <c r="C28" s="6" t="s">
        <v>94</v>
      </c>
      <c r="D28" s="7" t="s">
        <v>108</v>
      </c>
      <c r="E28" s="8" t="s">
        <v>15</v>
      </c>
      <c r="F28" s="5" t="s">
        <v>60</v>
      </c>
      <c r="G28" s="5" t="n">
        <v>13</v>
      </c>
      <c r="H28" s="5" t="n">
        <v>17</v>
      </c>
      <c r="I28" s="5" t="s">
        <v>109</v>
      </c>
      <c r="J28" s="6" t="n">
        <v>9.8</v>
      </c>
      <c r="K28" s="5" t="n">
        <f aca="false">IF(H28="","",H28-A28)</f>
        <v>-10</v>
      </c>
      <c r="L28" s="5" t="n">
        <v>38</v>
      </c>
      <c r="M28" s="10" t="s">
        <v>110</v>
      </c>
    </row>
    <row r="29" customFormat="false" ht="15" hidden="false" customHeight="false" outlineLevel="0" collapsed="false">
      <c r="A29" s="5" t="n">
        <v>28</v>
      </c>
      <c r="B29" s="5" t="n">
        <v>4</v>
      </c>
      <c r="C29" s="6" t="s">
        <v>94</v>
      </c>
      <c r="D29" s="7" t="s">
        <v>111</v>
      </c>
      <c r="E29" s="8" t="s">
        <v>15</v>
      </c>
      <c r="F29" s="5" t="s">
        <v>51</v>
      </c>
      <c r="G29" s="5" t="n">
        <v>14</v>
      </c>
      <c r="H29" s="5" t="n">
        <v>30</v>
      </c>
      <c r="I29" s="5" t="s">
        <v>112</v>
      </c>
      <c r="J29" s="6" t="n">
        <v>36.3</v>
      </c>
      <c r="K29" s="5" t="n">
        <f aca="false">IF(H29="","",H29-A29)</f>
        <v>2</v>
      </c>
      <c r="L29" s="5" t="n">
        <v>27</v>
      </c>
      <c r="M29" s="10" t="s">
        <v>113</v>
      </c>
    </row>
    <row r="30" customFormat="false" ht="15" hidden="false" customHeight="false" outlineLevel="0" collapsed="false">
      <c r="A30" s="5" t="n">
        <v>29</v>
      </c>
      <c r="B30" s="5" t="n">
        <v>4</v>
      </c>
      <c r="C30" s="6" t="s">
        <v>94</v>
      </c>
      <c r="D30" s="7" t="s">
        <v>114</v>
      </c>
      <c r="E30" s="8" t="s">
        <v>15</v>
      </c>
      <c r="F30" s="5" t="s">
        <v>27</v>
      </c>
      <c r="G30" s="5" t="n">
        <v>11</v>
      </c>
      <c r="H30" s="5" t="n">
        <v>37</v>
      </c>
      <c r="I30" s="5" t="s">
        <v>115</v>
      </c>
      <c r="J30" s="6" t="n">
        <v>32.4</v>
      </c>
      <c r="K30" s="5" t="n">
        <f aca="false">IF(H30="","",H30-A30)</f>
        <v>8</v>
      </c>
      <c r="L30" s="5" t="n">
        <v>22</v>
      </c>
      <c r="M30" s="6"/>
    </row>
    <row r="31" customFormat="false" ht="15" hidden="false" customHeight="false" outlineLevel="0" collapsed="false">
      <c r="A31" s="5" t="n">
        <v>30</v>
      </c>
      <c r="B31" s="5" t="n">
        <v>4</v>
      </c>
      <c r="C31" s="6" t="s">
        <v>94</v>
      </c>
      <c r="D31" s="7" t="s">
        <v>116</v>
      </c>
      <c r="E31" s="9" t="s">
        <v>22</v>
      </c>
      <c r="F31" s="5" t="s">
        <v>23</v>
      </c>
      <c r="G31" s="5" t="n">
        <v>6</v>
      </c>
      <c r="H31" s="5" t="n">
        <v>46</v>
      </c>
      <c r="I31" s="5" t="s">
        <v>117</v>
      </c>
      <c r="J31" s="6" t="n">
        <v>35.6</v>
      </c>
      <c r="K31" s="5" t="n">
        <f aca="false">IF(H31="","",H31-A31)</f>
        <v>16</v>
      </c>
      <c r="L31" s="5" t="n">
        <v>15</v>
      </c>
      <c r="M31" s="10" t="s">
        <v>118</v>
      </c>
    </row>
    <row r="32" customFormat="false" ht="15" hidden="false" customHeight="false" outlineLevel="0" collapsed="false">
      <c r="A32" s="5" t="n">
        <v>31</v>
      </c>
      <c r="B32" s="5" t="n">
        <v>4</v>
      </c>
      <c r="C32" s="6" t="s">
        <v>94</v>
      </c>
      <c r="D32" s="7" t="s">
        <v>119</v>
      </c>
      <c r="E32" s="9" t="s">
        <v>22</v>
      </c>
      <c r="F32" s="5" t="s">
        <v>72</v>
      </c>
      <c r="G32" s="5" t="n">
        <v>10</v>
      </c>
      <c r="H32" s="5" t="n">
        <v>35</v>
      </c>
      <c r="I32" s="5" t="s">
        <v>120</v>
      </c>
      <c r="J32" s="6" t="n">
        <v>29.9</v>
      </c>
      <c r="K32" s="5" t="n">
        <f aca="false">IF(H32="","",H32-A32)</f>
        <v>4</v>
      </c>
      <c r="L32" s="5" t="n">
        <v>22</v>
      </c>
      <c r="M32" s="6"/>
    </row>
    <row r="33" customFormat="false" ht="15" hidden="false" customHeight="false" outlineLevel="0" collapsed="false">
      <c r="A33" s="5" t="n">
        <v>32</v>
      </c>
      <c r="B33" s="5" t="n">
        <v>4</v>
      </c>
      <c r="C33" s="6" t="s">
        <v>94</v>
      </c>
      <c r="D33" s="7" t="s">
        <v>121</v>
      </c>
      <c r="E33" s="8" t="s">
        <v>15</v>
      </c>
      <c r="F33" s="5" t="s">
        <v>102</v>
      </c>
      <c r="G33" s="5" t="n">
        <v>14</v>
      </c>
      <c r="H33" s="5" t="n">
        <v>13</v>
      </c>
      <c r="I33" s="5" t="s">
        <v>122</v>
      </c>
      <c r="J33" s="6" t="n">
        <v>31</v>
      </c>
      <c r="K33" s="5" t="n">
        <f aca="false">IF(H33="","",H33-A33)</f>
        <v>-19</v>
      </c>
      <c r="L33" s="5" t="n">
        <v>45</v>
      </c>
      <c r="M33" s="10" t="s">
        <v>123</v>
      </c>
    </row>
    <row r="34" customFormat="false" ht="15" hidden="false" customHeight="false" outlineLevel="0" collapsed="false">
      <c r="A34" s="5" t="n">
        <v>33</v>
      </c>
      <c r="B34" s="5" t="n">
        <v>4</v>
      </c>
      <c r="C34" s="6" t="s">
        <v>94</v>
      </c>
      <c r="D34" s="7" t="s">
        <v>124</v>
      </c>
      <c r="E34" s="9" t="s">
        <v>22</v>
      </c>
      <c r="F34" s="5" t="s">
        <v>79</v>
      </c>
      <c r="G34" s="5" t="n">
        <v>13</v>
      </c>
      <c r="H34" s="5" t="n">
        <v>33</v>
      </c>
      <c r="I34" s="5" t="s">
        <v>125</v>
      </c>
      <c r="J34" s="6" t="n">
        <v>31.2</v>
      </c>
      <c r="K34" s="5" t="n">
        <f aca="false">IF(H34="","",H34-A34)</f>
        <v>0</v>
      </c>
      <c r="L34" s="5" t="n">
        <v>24</v>
      </c>
      <c r="M34" s="6"/>
    </row>
    <row r="35" customFormat="false" ht="15" hidden="false" customHeight="false" outlineLevel="0" collapsed="false">
      <c r="A35" s="2" t="n">
        <v>34</v>
      </c>
      <c r="B35" s="2" t="n">
        <v>5</v>
      </c>
      <c r="C35" s="3" t="s">
        <v>126</v>
      </c>
      <c r="D35" s="4" t="s">
        <v>127</v>
      </c>
      <c r="E35" s="2" t="s">
        <v>15</v>
      </c>
      <c r="F35" s="2" t="s">
        <v>106</v>
      </c>
      <c r="G35" s="2" t="n">
        <v>13</v>
      </c>
      <c r="H35" s="2" t="n">
        <v>23</v>
      </c>
      <c r="I35" s="2" t="s">
        <v>128</v>
      </c>
      <c r="J35" s="3" t="n">
        <v>33.1</v>
      </c>
      <c r="K35" s="2" t="n">
        <f aca="false">IF(H35="","",H35-A35)</f>
        <v>-11</v>
      </c>
      <c r="L35" s="2" t="n">
        <v>32</v>
      </c>
      <c r="M35" s="10" t="s">
        <v>129</v>
      </c>
    </row>
    <row r="36" customFormat="false" ht="15" hidden="false" customHeight="false" outlineLevel="0" collapsed="false">
      <c r="A36" s="5" t="n">
        <v>35</v>
      </c>
      <c r="B36" s="5" t="n">
        <v>5</v>
      </c>
      <c r="C36" s="6" t="s">
        <v>126</v>
      </c>
      <c r="D36" s="7" t="s">
        <v>130</v>
      </c>
      <c r="E36" s="9" t="s">
        <v>22</v>
      </c>
      <c r="F36" s="5" t="s">
        <v>131</v>
      </c>
      <c r="G36" s="5" t="n">
        <v>5</v>
      </c>
      <c r="H36" s="5" t="n">
        <v>34</v>
      </c>
      <c r="I36" s="5" t="s">
        <v>132</v>
      </c>
      <c r="J36" s="6" t="n">
        <v>37</v>
      </c>
      <c r="K36" s="5" t="n">
        <f aca="false">IF(H36="","",H36-A36)</f>
        <v>-1</v>
      </c>
      <c r="L36" s="5" t="n">
        <v>23</v>
      </c>
      <c r="M36" s="6"/>
    </row>
    <row r="37" customFormat="false" ht="15" hidden="false" customHeight="false" outlineLevel="0" collapsed="false">
      <c r="A37" s="5" t="n">
        <v>36</v>
      </c>
      <c r="B37" s="5" t="n">
        <v>5</v>
      </c>
      <c r="C37" s="6" t="s">
        <v>126</v>
      </c>
      <c r="D37" s="7" t="s">
        <v>133</v>
      </c>
      <c r="E37" s="9" t="s">
        <v>22</v>
      </c>
      <c r="F37" s="5" t="s">
        <v>75</v>
      </c>
      <c r="G37" s="5" t="n">
        <v>7</v>
      </c>
      <c r="H37" s="5" t="n">
        <v>44</v>
      </c>
      <c r="I37" s="5" t="s">
        <v>134</v>
      </c>
      <c r="J37" s="6" t="n">
        <v>40.7</v>
      </c>
      <c r="K37" s="5" t="n">
        <f aca="false">IF(H37="","",H37-A37)</f>
        <v>8</v>
      </c>
      <c r="L37" s="5" t="n">
        <v>17</v>
      </c>
      <c r="M37" s="6"/>
    </row>
    <row r="38" customFormat="false" ht="15" hidden="false" customHeight="false" outlineLevel="0" collapsed="false">
      <c r="A38" s="5" t="n">
        <v>37</v>
      </c>
      <c r="B38" s="5" t="n">
        <v>5</v>
      </c>
      <c r="C38" s="6" t="s">
        <v>126</v>
      </c>
      <c r="D38" s="7" t="s">
        <v>135</v>
      </c>
      <c r="E38" s="9" t="s">
        <v>22</v>
      </c>
      <c r="F38" s="5" t="s">
        <v>136</v>
      </c>
      <c r="G38" s="5" t="n">
        <v>7</v>
      </c>
      <c r="H38" s="5" t="n">
        <v>45</v>
      </c>
      <c r="I38" s="5" t="s">
        <v>137</v>
      </c>
      <c r="J38" s="6" t="n">
        <v>50.5</v>
      </c>
      <c r="K38" s="5" t="n">
        <f aca="false">IF(H38="","",H38-A38)</f>
        <v>8</v>
      </c>
      <c r="L38" s="5" t="n">
        <v>17</v>
      </c>
      <c r="M38" s="6"/>
    </row>
    <row r="39" customFormat="false" ht="15" hidden="false" customHeight="false" outlineLevel="0" collapsed="false">
      <c r="A39" s="5" t="n">
        <v>38</v>
      </c>
      <c r="B39" s="5" t="n">
        <v>5</v>
      </c>
      <c r="C39" s="6" t="s">
        <v>126</v>
      </c>
      <c r="D39" s="7" t="s">
        <v>138</v>
      </c>
      <c r="E39" s="9" t="s">
        <v>22</v>
      </c>
      <c r="F39" s="5" t="s">
        <v>91</v>
      </c>
      <c r="G39" s="5" t="n">
        <v>5</v>
      </c>
      <c r="H39" s="5" t="n">
        <v>24</v>
      </c>
      <c r="I39" s="5" t="s">
        <v>139</v>
      </c>
      <c r="J39" s="6" t="n">
        <v>29.1</v>
      </c>
      <c r="K39" s="5" t="n">
        <f aca="false">IF(H39="","",H39-A39)</f>
        <v>-14</v>
      </c>
      <c r="L39" s="5" t="n">
        <v>32</v>
      </c>
      <c r="M39" s="10" t="s">
        <v>140</v>
      </c>
    </row>
    <row r="40" customFormat="false" ht="15" hidden="false" customHeight="false" outlineLevel="0" collapsed="false">
      <c r="A40" s="5" t="n">
        <v>39</v>
      </c>
      <c r="B40" s="5" t="n">
        <v>5</v>
      </c>
      <c r="C40" s="6" t="s">
        <v>126</v>
      </c>
      <c r="D40" s="7" t="s">
        <v>141</v>
      </c>
      <c r="E40" s="8" t="s">
        <v>15</v>
      </c>
      <c r="F40" s="5" t="s">
        <v>85</v>
      </c>
      <c r="G40" s="5" t="n">
        <v>8</v>
      </c>
      <c r="H40" s="5" t="n">
        <v>32</v>
      </c>
      <c r="I40" s="5" t="s">
        <v>142</v>
      </c>
      <c r="J40" s="6" t="n">
        <v>42.6</v>
      </c>
      <c r="K40" s="5" t="n">
        <f aca="false">IF(H40="","",H40-A40)</f>
        <v>-7</v>
      </c>
      <c r="L40" s="5" t="n">
        <v>25</v>
      </c>
      <c r="M40" s="6"/>
    </row>
    <row r="41" customFormat="false" ht="15" hidden="false" customHeight="false" outlineLevel="0" collapsed="false">
      <c r="A41" s="5" t="n">
        <v>40</v>
      </c>
      <c r="B41" s="5" t="n">
        <v>5</v>
      </c>
      <c r="C41" s="6" t="s">
        <v>126</v>
      </c>
      <c r="D41" s="7" t="s">
        <v>143</v>
      </c>
      <c r="E41" s="8" t="s">
        <v>15</v>
      </c>
      <c r="F41" s="5" t="s">
        <v>144</v>
      </c>
      <c r="G41" s="5" t="n">
        <v>11</v>
      </c>
      <c r="H41" s="5" t="n">
        <v>38</v>
      </c>
      <c r="I41" s="5" t="s">
        <v>145</v>
      </c>
      <c r="J41" s="6" t="n">
        <v>52.6</v>
      </c>
      <c r="K41" s="5" t="n">
        <f aca="false">IF(H41="","",H41-A41)</f>
        <v>-2</v>
      </c>
      <c r="L41" s="5" t="n">
        <v>21</v>
      </c>
      <c r="M41" s="10" t="s">
        <v>146</v>
      </c>
    </row>
    <row r="42" customFormat="false" ht="15" hidden="false" customHeight="false" outlineLevel="0" collapsed="false">
      <c r="A42" s="5" t="n">
        <v>41</v>
      </c>
      <c r="B42" s="5" t="n">
        <v>5</v>
      </c>
      <c r="C42" s="6" t="s">
        <v>126</v>
      </c>
      <c r="D42" s="7" t="s">
        <v>147</v>
      </c>
      <c r="E42" s="9" t="s">
        <v>22</v>
      </c>
      <c r="F42" s="5" t="s">
        <v>27</v>
      </c>
      <c r="G42" s="5" t="n">
        <v>11</v>
      </c>
      <c r="H42" s="5" t="n">
        <v>43</v>
      </c>
      <c r="I42" s="5" t="s">
        <v>148</v>
      </c>
      <c r="J42" s="6" t="n">
        <v>51.9</v>
      </c>
      <c r="K42" s="5" t="n">
        <f aca="false">IF(H42="","",H42-A42)</f>
        <v>2</v>
      </c>
      <c r="L42" s="5" t="n">
        <v>18</v>
      </c>
      <c r="M42" s="6"/>
    </row>
    <row r="43" customFormat="false" ht="15" hidden="false" customHeight="false" outlineLevel="0" collapsed="false">
      <c r="A43" s="5" t="n">
        <v>42</v>
      </c>
      <c r="B43" s="5" t="n">
        <v>5</v>
      </c>
      <c r="C43" s="6" t="s">
        <v>126</v>
      </c>
      <c r="D43" s="7" t="s">
        <v>149</v>
      </c>
      <c r="E43" s="8" t="s">
        <v>15</v>
      </c>
      <c r="F43" s="5" t="s">
        <v>96</v>
      </c>
      <c r="G43" s="5" t="n">
        <v>8</v>
      </c>
      <c r="H43" s="5" t="n">
        <v>39</v>
      </c>
      <c r="I43" s="5" t="s">
        <v>150</v>
      </c>
      <c r="J43" s="6" t="n">
        <v>46.8</v>
      </c>
      <c r="K43" s="5" t="n">
        <f aca="false">IF(H43="","",H43-A43)</f>
        <v>-3</v>
      </c>
      <c r="L43" s="5" t="n">
        <v>21</v>
      </c>
      <c r="M43" s="10" t="s">
        <v>151</v>
      </c>
    </row>
    <row r="44" customFormat="false" ht="15" hidden="false" customHeight="false" outlineLevel="0" collapsed="false">
      <c r="A44" s="5" t="n">
        <v>43</v>
      </c>
      <c r="B44" s="5" t="n">
        <v>5</v>
      </c>
      <c r="C44" s="6" t="s">
        <v>126</v>
      </c>
      <c r="D44" s="7" t="s">
        <v>152</v>
      </c>
      <c r="E44" s="9" t="s">
        <v>22</v>
      </c>
      <c r="F44" s="5" t="s">
        <v>153</v>
      </c>
      <c r="G44" s="5" t="n">
        <v>10</v>
      </c>
      <c r="H44" s="5" t="n">
        <v>47</v>
      </c>
      <c r="I44" s="5" t="s">
        <v>154</v>
      </c>
      <c r="J44" s="6" t="n">
        <v>43.5</v>
      </c>
      <c r="K44" s="5" t="n">
        <f aca="false">IF(H44="","",H44-A44)</f>
        <v>4</v>
      </c>
      <c r="L44" s="5" t="n">
        <v>15</v>
      </c>
      <c r="M44" s="6"/>
    </row>
    <row r="45" customFormat="false" ht="15" hidden="false" customHeight="false" outlineLevel="0" collapsed="false">
      <c r="A45" s="5" t="n">
        <v>44</v>
      </c>
      <c r="B45" s="5" t="n">
        <v>5</v>
      </c>
      <c r="C45" s="6" t="s">
        <v>126</v>
      </c>
      <c r="D45" s="7" t="s">
        <v>155</v>
      </c>
      <c r="E45" s="8" t="s">
        <v>15</v>
      </c>
      <c r="F45" s="5" t="s">
        <v>156</v>
      </c>
      <c r="G45" s="5" t="n">
        <v>10</v>
      </c>
      <c r="H45" s="5" t="n">
        <v>40</v>
      </c>
      <c r="I45" s="5" t="s">
        <v>157</v>
      </c>
      <c r="J45" s="6" t="n">
        <v>54.9</v>
      </c>
      <c r="K45" s="5" t="n">
        <f aca="false">IF(H45="","",H45-A45)</f>
        <v>-4</v>
      </c>
      <c r="L45" s="5" t="n">
        <v>20</v>
      </c>
      <c r="M45" s="10" t="s">
        <v>146</v>
      </c>
    </row>
    <row r="46" customFormat="false" ht="15" hidden="false" customHeight="false" outlineLevel="0" collapsed="false">
      <c r="A46" s="5" t="n">
        <v>45</v>
      </c>
      <c r="B46" s="5" t="n">
        <v>5</v>
      </c>
      <c r="C46" s="6" t="s">
        <v>126</v>
      </c>
      <c r="D46" s="7" t="s">
        <v>158</v>
      </c>
      <c r="E46" s="8" t="s">
        <v>15</v>
      </c>
      <c r="F46" s="5" t="s">
        <v>159</v>
      </c>
      <c r="G46" s="5" t="n">
        <v>10</v>
      </c>
      <c r="H46" s="5" t="n">
        <v>41</v>
      </c>
      <c r="I46" s="5" t="s">
        <v>160</v>
      </c>
      <c r="J46" s="6" t="n">
        <v>46</v>
      </c>
      <c r="K46" s="5" t="n">
        <f aca="false">IF(H46="","",H46-A46)</f>
        <v>-4</v>
      </c>
      <c r="L46" s="5" t="n">
        <v>19</v>
      </c>
      <c r="M46" s="6"/>
    </row>
    <row r="47" customFormat="false" ht="15" hidden="false" customHeight="false" outlineLevel="0" collapsed="false">
      <c r="A47" s="2" t="n">
        <v>46</v>
      </c>
      <c r="B47" s="2" t="n">
        <v>6</v>
      </c>
      <c r="C47" s="3" t="s">
        <v>161</v>
      </c>
      <c r="D47" s="4" t="s">
        <v>162</v>
      </c>
      <c r="E47" s="2" t="s">
        <v>22</v>
      </c>
      <c r="F47" s="2" t="s">
        <v>159</v>
      </c>
      <c r="G47" s="2" t="n">
        <v>10</v>
      </c>
      <c r="H47" s="2" t="n">
        <v>48</v>
      </c>
      <c r="I47" s="2" t="s">
        <v>163</v>
      </c>
      <c r="J47" s="3" t="n">
        <v>57.5</v>
      </c>
      <c r="K47" s="2" t="n">
        <f aca="false">IF(H47="","",H47-A47)</f>
        <v>2</v>
      </c>
      <c r="L47" s="2" t="n">
        <v>14</v>
      </c>
      <c r="M47" s="10" t="s">
        <v>164</v>
      </c>
    </row>
    <row r="48" customFormat="false" ht="15" hidden="false" customHeight="false" outlineLevel="0" collapsed="false">
      <c r="A48" s="5" t="n">
        <v>47</v>
      </c>
      <c r="B48" s="5" t="n">
        <v>6</v>
      </c>
      <c r="C48" s="6" t="s">
        <v>161</v>
      </c>
      <c r="D48" s="7" t="s">
        <v>165</v>
      </c>
      <c r="E48" s="11" t="s">
        <v>59</v>
      </c>
      <c r="F48" s="5" t="s">
        <v>159</v>
      </c>
      <c r="G48" s="5" t="n">
        <v>10</v>
      </c>
      <c r="H48" s="5" t="n">
        <v>49</v>
      </c>
      <c r="I48" s="5" t="s">
        <v>166</v>
      </c>
      <c r="J48" s="6" t="n">
        <v>41.1</v>
      </c>
      <c r="K48" s="5" t="n">
        <f aca="false">IF(H48="","",H48-A48)</f>
        <v>2</v>
      </c>
      <c r="L48" s="5" t="n">
        <v>13</v>
      </c>
      <c r="M48" s="10" t="s">
        <v>167</v>
      </c>
    </row>
    <row r="49" customFormat="false" ht="15" hidden="false" customHeight="false" outlineLevel="0" collapsed="false">
      <c r="A49" s="5" t="n">
        <v>48</v>
      </c>
      <c r="B49" s="5" t="n">
        <v>6</v>
      </c>
      <c r="C49" s="6" t="s">
        <v>161</v>
      </c>
      <c r="D49" s="7" t="s">
        <v>168</v>
      </c>
      <c r="E49" s="9" t="s">
        <v>22</v>
      </c>
      <c r="F49" s="5" t="s">
        <v>156</v>
      </c>
      <c r="G49" s="5" t="n">
        <v>10</v>
      </c>
      <c r="H49" s="5" t="n">
        <v>42</v>
      </c>
      <c r="I49" s="5" t="s">
        <v>169</v>
      </c>
      <c r="J49" s="6" t="n">
        <v>40.4</v>
      </c>
      <c r="K49" s="5" t="n">
        <f aca="false">IF(H49="","",H49-A49)</f>
        <v>-6</v>
      </c>
      <c r="L49" s="5" t="n">
        <v>19</v>
      </c>
      <c r="M49" s="10" t="s">
        <v>170</v>
      </c>
    </row>
    <row r="50" customFormat="false" ht="15" hidden="false" customHeight="false" outlineLevel="0" collapsed="false">
      <c r="A50" s="5" t="n">
        <v>49</v>
      </c>
      <c r="B50" s="5" t="n">
        <v>6</v>
      </c>
      <c r="C50" s="6" t="s">
        <v>161</v>
      </c>
      <c r="D50" s="7" t="s">
        <v>171</v>
      </c>
      <c r="E50" s="9" t="s">
        <v>22</v>
      </c>
      <c r="F50" s="5" t="s">
        <v>16</v>
      </c>
      <c r="G50" s="5" t="n">
        <v>6</v>
      </c>
      <c r="H50" s="5" t="n">
        <v>51</v>
      </c>
      <c r="I50" s="5" t="s">
        <v>172</v>
      </c>
      <c r="J50" s="6" t="n">
        <v>53.6</v>
      </c>
      <c r="K50" s="5" t="n">
        <f aca="false">IF(H50="","",H50-A50)</f>
        <v>2</v>
      </c>
      <c r="L50" s="5" t="n">
        <v>12</v>
      </c>
      <c r="M50" s="6"/>
    </row>
    <row r="51" customFormat="false" ht="15" hidden="false" customHeight="false" outlineLevel="0" collapsed="false">
      <c r="A51" s="5" t="n">
        <v>50</v>
      </c>
      <c r="B51" s="5" t="n">
        <v>6</v>
      </c>
      <c r="C51" s="6" t="s">
        <v>161</v>
      </c>
      <c r="D51" s="7" t="s">
        <v>173</v>
      </c>
      <c r="E51" s="12" t="s">
        <v>174</v>
      </c>
      <c r="F51" s="5" t="s">
        <v>56</v>
      </c>
      <c r="G51" s="5" t="n">
        <v>7</v>
      </c>
      <c r="H51" s="5" t="n">
        <v>36</v>
      </c>
      <c r="I51" s="5" t="s">
        <v>175</v>
      </c>
      <c r="J51" s="6" t="n">
        <v>30.5</v>
      </c>
      <c r="K51" s="5" t="n">
        <f aca="false">IF(H51="","",H51-A51)</f>
        <v>-14</v>
      </c>
      <c r="L51" s="5" t="n">
        <v>22</v>
      </c>
      <c r="M51" s="10" t="s">
        <v>176</v>
      </c>
    </row>
    <row r="52" customFormat="false" ht="15" hidden="false" customHeight="false" outlineLevel="0" collapsed="false">
      <c r="A52" s="5" t="n">
        <v>51</v>
      </c>
      <c r="B52" s="5" t="n">
        <v>6</v>
      </c>
      <c r="C52" s="6" t="s">
        <v>161</v>
      </c>
      <c r="D52" s="7" t="s">
        <v>177</v>
      </c>
      <c r="E52" s="9" t="s">
        <v>22</v>
      </c>
      <c r="F52" s="5" t="s">
        <v>56</v>
      </c>
      <c r="G52" s="5" t="n">
        <v>7</v>
      </c>
      <c r="H52" s="5" t="n">
        <v>52</v>
      </c>
      <c r="I52" s="5" t="s">
        <v>178</v>
      </c>
      <c r="J52" s="6" t="n">
        <v>55.8</v>
      </c>
      <c r="K52" s="5" t="n">
        <f aca="false">IF(H52="","",H52-A52)</f>
        <v>1</v>
      </c>
      <c r="L52" s="5" t="n">
        <v>11</v>
      </c>
      <c r="M52" s="6"/>
    </row>
    <row r="53" customFormat="false" ht="15" hidden="false" customHeight="false" outlineLevel="0" collapsed="false">
      <c r="A53" s="5" t="n">
        <v>52</v>
      </c>
      <c r="B53" s="5" t="n">
        <v>6</v>
      </c>
      <c r="C53" s="6" t="s">
        <v>161</v>
      </c>
      <c r="D53" s="7" t="s">
        <v>179</v>
      </c>
      <c r="E53" s="8" t="s">
        <v>15</v>
      </c>
      <c r="F53" s="5" t="s">
        <v>64</v>
      </c>
      <c r="G53" s="5" t="n">
        <v>8</v>
      </c>
      <c r="H53" s="5" t="n">
        <v>60</v>
      </c>
      <c r="I53" s="5" t="s">
        <v>180</v>
      </c>
      <c r="J53" s="6" t="n">
        <v>47.5</v>
      </c>
      <c r="K53" s="5" t="n">
        <f aca="false">IF(H53="","",H53-A53)</f>
        <v>8</v>
      </c>
      <c r="L53" s="5" t="n">
        <v>9</v>
      </c>
      <c r="M53" s="10" t="s">
        <v>181</v>
      </c>
    </row>
    <row r="54" customFormat="false" ht="15" hidden="false" customHeight="false" outlineLevel="0" collapsed="false">
      <c r="A54" s="5" t="n">
        <v>53</v>
      </c>
      <c r="B54" s="5" t="n">
        <v>6</v>
      </c>
      <c r="C54" s="6" t="s">
        <v>161</v>
      </c>
      <c r="D54" s="7" t="s">
        <v>182</v>
      </c>
      <c r="E54" s="11" t="s">
        <v>59</v>
      </c>
      <c r="F54" s="5" t="s">
        <v>40</v>
      </c>
      <c r="G54" s="5" t="n">
        <v>13</v>
      </c>
      <c r="H54" s="5" t="n">
        <v>50</v>
      </c>
      <c r="I54" s="5" t="s">
        <v>183</v>
      </c>
      <c r="J54" s="6" t="n">
        <v>60</v>
      </c>
      <c r="K54" s="5" t="n">
        <f aca="false">IF(H54="","",H54-A54)</f>
        <v>-3</v>
      </c>
      <c r="L54" s="5" t="n">
        <v>13</v>
      </c>
      <c r="M54" s="10" t="s">
        <v>184</v>
      </c>
    </row>
    <row r="55" customFormat="false" ht="15" hidden="false" customHeight="false" outlineLevel="0" collapsed="false">
      <c r="A55" s="5" t="n">
        <v>54</v>
      </c>
      <c r="B55" s="5" t="n">
        <v>6</v>
      </c>
      <c r="C55" s="6" t="s">
        <v>161</v>
      </c>
      <c r="D55" s="7" t="s">
        <v>185</v>
      </c>
      <c r="E55" s="8" t="s">
        <v>15</v>
      </c>
      <c r="F55" s="5" t="s">
        <v>186</v>
      </c>
      <c r="G55" s="5" t="n">
        <v>7</v>
      </c>
      <c r="H55" s="5" t="n">
        <v>59</v>
      </c>
      <c r="I55" s="5" t="s">
        <v>187</v>
      </c>
      <c r="J55" s="6" t="n">
        <v>57.9</v>
      </c>
      <c r="K55" s="5" t="n">
        <f aca="false">IF(H55="","",H55-A55)</f>
        <v>5</v>
      </c>
      <c r="L55" s="5" t="n">
        <v>9</v>
      </c>
      <c r="M55" s="10" t="s">
        <v>188</v>
      </c>
    </row>
    <row r="56" customFormat="false" ht="15" hidden="false" customHeight="false" outlineLevel="0" collapsed="false">
      <c r="A56" s="5" t="n">
        <v>55</v>
      </c>
      <c r="B56" s="5" t="n">
        <v>6</v>
      </c>
      <c r="C56" s="6" t="s">
        <v>161</v>
      </c>
      <c r="D56" s="7" t="s">
        <v>189</v>
      </c>
      <c r="E56" s="9" t="s">
        <v>22</v>
      </c>
      <c r="F56" s="5" t="s">
        <v>190</v>
      </c>
      <c r="G56" s="5" t="n">
        <v>11</v>
      </c>
      <c r="H56" s="5" t="n">
        <v>76</v>
      </c>
      <c r="I56" s="5" t="s">
        <v>191</v>
      </c>
      <c r="J56" s="6" t="n">
        <v>56.5</v>
      </c>
      <c r="K56" s="5" t="n">
        <f aca="false">IF(H56="","",H56-A56)</f>
        <v>21</v>
      </c>
      <c r="L56" s="5" t="n">
        <v>5</v>
      </c>
      <c r="M56" s="10" t="s">
        <v>192</v>
      </c>
    </row>
    <row r="57" customFormat="false" ht="15" hidden="false" customHeight="false" outlineLevel="0" collapsed="false">
      <c r="A57" s="5" t="n">
        <v>56</v>
      </c>
      <c r="B57" s="5" t="n">
        <v>6</v>
      </c>
      <c r="C57" s="6" t="s">
        <v>161</v>
      </c>
      <c r="D57" s="7" t="s">
        <v>193</v>
      </c>
      <c r="E57" s="8" t="s">
        <v>15</v>
      </c>
      <c r="F57" s="5" t="s">
        <v>194</v>
      </c>
      <c r="G57" s="5" t="n">
        <v>9</v>
      </c>
      <c r="H57" s="5" t="n">
        <v>64</v>
      </c>
      <c r="I57" s="5" t="s">
        <v>195</v>
      </c>
      <c r="J57" s="6" t="n">
        <v>69.4</v>
      </c>
      <c r="K57" s="5" t="n">
        <f aca="false">IF(H57="","",H57-A57)</f>
        <v>8</v>
      </c>
      <c r="L57" s="5" t="n">
        <v>7</v>
      </c>
      <c r="M57" s="10" t="s">
        <v>196</v>
      </c>
    </row>
    <row r="58" customFormat="false" ht="15" hidden="false" customHeight="false" outlineLevel="0" collapsed="false">
      <c r="A58" s="2" t="n">
        <v>57</v>
      </c>
      <c r="B58" s="2" t="n">
        <v>7</v>
      </c>
      <c r="C58" s="3" t="s">
        <v>197</v>
      </c>
      <c r="D58" s="4" t="s">
        <v>198</v>
      </c>
      <c r="E58" s="2" t="s">
        <v>22</v>
      </c>
      <c r="F58" s="2" t="s">
        <v>199</v>
      </c>
      <c r="G58" s="2" t="n">
        <v>9</v>
      </c>
      <c r="H58" s="2" t="n">
        <v>54</v>
      </c>
      <c r="I58" s="2" t="s">
        <v>200</v>
      </c>
      <c r="J58" s="3" t="n">
        <v>65.4</v>
      </c>
      <c r="K58" s="2" t="n">
        <f aca="false">IF(H58="","",H58-A58)</f>
        <v>-3</v>
      </c>
      <c r="L58" s="2" t="n">
        <v>10</v>
      </c>
      <c r="M58" s="10" t="s">
        <v>201</v>
      </c>
    </row>
    <row r="59" customFormat="false" ht="15" hidden="false" customHeight="false" outlineLevel="0" collapsed="false">
      <c r="A59" s="5" t="n">
        <v>58</v>
      </c>
      <c r="B59" s="5" t="n">
        <v>7</v>
      </c>
      <c r="C59" s="6" t="s">
        <v>197</v>
      </c>
      <c r="D59" s="7" t="s">
        <v>202</v>
      </c>
      <c r="E59" s="8" t="s">
        <v>15</v>
      </c>
      <c r="F59" s="5" t="s">
        <v>30</v>
      </c>
      <c r="G59" s="5" t="n">
        <v>11</v>
      </c>
      <c r="H59" s="5" t="n">
        <v>61</v>
      </c>
      <c r="I59" s="5" t="s">
        <v>203</v>
      </c>
      <c r="J59" s="6" t="n">
        <v>65</v>
      </c>
      <c r="K59" s="5" t="n">
        <f aca="false">IF(H59="","",H59-A59)</f>
        <v>3</v>
      </c>
      <c r="L59" s="5" t="n">
        <v>8</v>
      </c>
      <c r="M59" s="10" t="s">
        <v>204</v>
      </c>
    </row>
    <row r="60" customFormat="false" ht="15" hidden="false" customHeight="false" outlineLevel="0" collapsed="false">
      <c r="A60" s="5" t="n">
        <v>59</v>
      </c>
      <c r="B60" s="5" t="n">
        <v>7</v>
      </c>
      <c r="C60" s="6" t="s">
        <v>197</v>
      </c>
      <c r="D60" s="7" t="s">
        <v>205</v>
      </c>
      <c r="E60" s="8" t="s">
        <v>15</v>
      </c>
      <c r="F60" s="5" t="s">
        <v>68</v>
      </c>
      <c r="G60" s="5" t="n">
        <v>11</v>
      </c>
      <c r="H60" s="5" t="n">
        <v>63</v>
      </c>
      <c r="I60" s="5" t="s">
        <v>206</v>
      </c>
      <c r="J60" s="6" t="n">
        <v>73.8</v>
      </c>
      <c r="K60" s="5" t="n">
        <f aca="false">IF(H60="","",H60-A60)</f>
        <v>4</v>
      </c>
      <c r="L60" s="5" t="n">
        <v>8</v>
      </c>
      <c r="M60" s="6"/>
    </row>
    <row r="61" customFormat="false" ht="15" hidden="false" customHeight="false" outlineLevel="0" collapsed="false">
      <c r="A61" s="5" t="n">
        <v>60</v>
      </c>
      <c r="B61" s="5" t="n">
        <v>7</v>
      </c>
      <c r="C61" s="6" t="s">
        <v>197</v>
      </c>
      <c r="D61" s="7" t="s">
        <v>207</v>
      </c>
      <c r="E61" s="9" t="s">
        <v>22</v>
      </c>
      <c r="F61" s="5" t="s">
        <v>102</v>
      </c>
      <c r="G61" s="5" t="n">
        <v>14</v>
      </c>
      <c r="H61" s="5" t="n">
        <v>67</v>
      </c>
      <c r="I61" s="5" t="s">
        <v>208</v>
      </c>
      <c r="J61" s="6" t="n">
        <v>67.6</v>
      </c>
      <c r="K61" s="5" t="n">
        <f aca="false">IF(H61="","",H61-A61)</f>
        <v>7</v>
      </c>
      <c r="L61" s="5" t="n">
        <v>7</v>
      </c>
      <c r="M61" s="10" t="s">
        <v>100</v>
      </c>
    </row>
    <row r="62" customFormat="false" ht="15" hidden="false" customHeight="false" outlineLevel="0" collapsed="false">
      <c r="A62" s="5" t="n">
        <v>61</v>
      </c>
      <c r="B62" s="5" t="n">
        <v>7</v>
      </c>
      <c r="C62" s="6" t="s">
        <v>197</v>
      </c>
      <c r="D62" s="7" t="s">
        <v>209</v>
      </c>
      <c r="E62" s="9" t="s">
        <v>22</v>
      </c>
      <c r="F62" s="5" t="s">
        <v>186</v>
      </c>
      <c r="G62" s="5" t="n">
        <v>7</v>
      </c>
      <c r="H62" s="5" t="n">
        <v>79</v>
      </c>
      <c r="I62" s="5" t="s">
        <v>210</v>
      </c>
      <c r="J62" s="6" t="n">
        <v>66.1</v>
      </c>
      <c r="K62" s="5" t="n">
        <f aca="false">IF(H62="","",H62-A62)</f>
        <v>18</v>
      </c>
      <c r="L62" s="5" t="n">
        <v>4</v>
      </c>
      <c r="M62" s="10" t="s">
        <v>211</v>
      </c>
    </row>
    <row r="63" customFormat="false" ht="15" hidden="false" customHeight="false" outlineLevel="0" collapsed="false">
      <c r="A63" s="5" t="n">
        <v>62</v>
      </c>
      <c r="B63" s="5" t="n">
        <v>7</v>
      </c>
      <c r="C63" s="6" t="s">
        <v>197</v>
      </c>
      <c r="D63" s="7" t="s">
        <v>212</v>
      </c>
      <c r="E63" s="9" t="s">
        <v>22</v>
      </c>
      <c r="F63" s="5" t="s">
        <v>159</v>
      </c>
      <c r="G63" s="5" t="n">
        <v>10</v>
      </c>
      <c r="H63" s="5" t="n">
        <v>53</v>
      </c>
      <c r="I63" s="5" t="s">
        <v>213</v>
      </c>
      <c r="J63" s="6" t="n">
        <v>44.9</v>
      </c>
      <c r="K63" s="5" t="n">
        <f aca="false">IF(H63="","",H63-A63)</f>
        <v>-9</v>
      </c>
      <c r="L63" s="5" t="n">
        <v>11</v>
      </c>
      <c r="M63" s="10" t="s">
        <v>214</v>
      </c>
    </row>
    <row r="64" customFormat="false" ht="15" hidden="false" customHeight="false" outlineLevel="0" collapsed="false">
      <c r="A64" s="5" t="n">
        <v>63</v>
      </c>
      <c r="B64" s="5" t="n">
        <v>7</v>
      </c>
      <c r="C64" s="6" t="s">
        <v>197</v>
      </c>
      <c r="D64" s="7" t="s">
        <v>215</v>
      </c>
      <c r="E64" s="9" t="s">
        <v>22</v>
      </c>
      <c r="F64" s="5" t="s">
        <v>186</v>
      </c>
      <c r="G64" s="5" t="n">
        <v>7</v>
      </c>
      <c r="H64" s="5" t="n">
        <v>69</v>
      </c>
      <c r="I64" s="5" t="s">
        <v>216</v>
      </c>
      <c r="J64" s="6" t="n">
        <v>57.3</v>
      </c>
      <c r="K64" s="5" t="n">
        <f aca="false">IF(H64="","",H64-A64)</f>
        <v>6</v>
      </c>
      <c r="L64" s="5" t="n">
        <v>6</v>
      </c>
      <c r="M64" s="10" t="s">
        <v>217</v>
      </c>
    </row>
    <row r="65" customFormat="false" ht="15" hidden="false" customHeight="false" outlineLevel="0" collapsed="false">
      <c r="A65" s="5" t="n">
        <v>64</v>
      </c>
      <c r="B65" s="5" t="n">
        <v>7</v>
      </c>
      <c r="C65" s="6" t="s">
        <v>197</v>
      </c>
      <c r="D65" s="7" t="s">
        <v>218</v>
      </c>
      <c r="E65" s="9" t="s">
        <v>22</v>
      </c>
      <c r="F65" s="5" t="s">
        <v>194</v>
      </c>
      <c r="G65" s="5" t="n">
        <v>9</v>
      </c>
      <c r="H65" s="5" t="n">
        <v>68</v>
      </c>
      <c r="I65" s="5" t="s">
        <v>219</v>
      </c>
      <c r="J65" s="6" t="n">
        <v>79.1</v>
      </c>
      <c r="K65" s="5" t="n">
        <f aca="false">IF(H65="","",H65-A65)</f>
        <v>4</v>
      </c>
      <c r="L65" s="5" t="n">
        <v>6</v>
      </c>
      <c r="M65" s="6"/>
    </row>
    <row r="66" customFormat="false" ht="15" hidden="false" customHeight="false" outlineLevel="0" collapsed="false">
      <c r="A66" s="5" t="n">
        <v>65</v>
      </c>
      <c r="B66" s="5" t="n">
        <v>7</v>
      </c>
      <c r="C66" s="6" t="s">
        <v>197</v>
      </c>
      <c r="D66" s="7" t="s">
        <v>220</v>
      </c>
      <c r="E66" s="11" t="s">
        <v>59</v>
      </c>
      <c r="F66" s="5" t="s">
        <v>19</v>
      </c>
      <c r="G66" s="5" t="n">
        <v>11</v>
      </c>
      <c r="H66" s="5" t="n">
        <v>71</v>
      </c>
      <c r="I66" s="5" t="s">
        <v>221</v>
      </c>
      <c r="J66" s="6" t="n">
        <v>85.9</v>
      </c>
      <c r="K66" s="5" t="n">
        <f aca="false">IF(H66="","",H66-A66)</f>
        <v>6</v>
      </c>
      <c r="L66" s="5" t="n">
        <v>6</v>
      </c>
      <c r="M66" s="10" t="s">
        <v>222</v>
      </c>
    </row>
    <row r="67" customFormat="false" ht="15" hidden="false" customHeight="false" outlineLevel="0" collapsed="false">
      <c r="A67" s="5" t="n">
        <v>66</v>
      </c>
      <c r="B67" s="5" t="n">
        <v>7</v>
      </c>
      <c r="C67" s="6" t="s">
        <v>197</v>
      </c>
      <c r="D67" s="7" t="s">
        <v>223</v>
      </c>
      <c r="E67" s="11" t="s">
        <v>59</v>
      </c>
      <c r="F67" s="5" t="s">
        <v>144</v>
      </c>
      <c r="G67" s="5" t="n">
        <v>11</v>
      </c>
      <c r="H67" s="5" t="n">
        <v>72</v>
      </c>
      <c r="I67" s="5" t="s">
        <v>224</v>
      </c>
      <c r="J67" s="6" t="n">
        <v>83.4</v>
      </c>
      <c r="K67" s="5" t="n">
        <f aca="false">IF(H67="","",H67-A67)</f>
        <v>6</v>
      </c>
      <c r="L67" s="5" t="n">
        <v>6</v>
      </c>
      <c r="M67" s="10" t="s">
        <v>225</v>
      </c>
    </row>
    <row r="68" customFormat="false" ht="15" hidden="false" customHeight="false" outlineLevel="0" collapsed="false">
      <c r="A68" s="5" t="n">
        <v>67</v>
      </c>
      <c r="B68" s="5" t="n">
        <v>7</v>
      </c>
      <c r="C68" s="6" t="s">
        <v>197</v>
      </c>
      <c r="D68" s="7" t="s">
        <v>226</v>
      </c>
      <c r="E68" s="11" t="s">
        <v>59</v>
      </c>
      <c r="F68" s="5" t="s">
        <v>16</v>
      </c>
      <c r="G68" s="5" t="n">
        <v>6</v>
      </c>
      <c r="H68" s="5" t="n">
        <v>73</v>
      </c>
      <c r="I68" s="5" t="s">
        <v>227</v>
      </c>
      <c r="J68" s="6" t="n">
        <v>78.4</v>
      </c>
      <c r="K68" s="5" t="n">
        <f aca="false">IF(H68="","",H68-A68)</f>
        <v>6</v>
      </c>
      <c r="L68" s="5" t="n">
        <v>6</v>
      </c>
      <c r="M68" s="6"/>
    </row>
    <row r="69" customFormat="false" ht="15" hidden="false" customHeight="false" outlineLevel="0" collapsed="false">
      <c r="A69" s="5" t="n">
        <v>68</v>
      </c>
      <c r="B69" s="5" t="n">
        <v>7</v>
      </c>
      <c r="C69" s="6" t="s">
        <v>197</v>
      </c>
      <c r="D69" s="7" t="s">
        <v>228</v>
      </c>
      <c r="E69" s="8" t="s">
        <v>15</v>
      </c>
      <c r="F69" s="5" t="s">
        <v>199</v>
      </c>
      <c r="G69" s="5" t="n">
        <v>9</v>
      </c>
      <c r="H69" s="5" t="n">
        <v>98</v>
      </c>
      <c r="I69" s="5" t="s">
        <v>229</v>
      </c>
      <c r="J69" s="6" t="n">
        <v>81.2</v>
      </c>
      <c r="K69" s="5" t="n">
        <f aca="false">IF(H69="","",H69-A69)</f>
        <v>30</v>
      </c>
      <c r="L69" s="5" t="n">
        <v>2</v>
      </c>
      <c r="M69" s="10" t="s">
        <v>230</v>
      </c>
    </row>
    <row r="70" customFormat="false" ht="15" hidden="false" customHeight="false" outlineLevel="0" collapsed="false">
      <c r="A70" s="5" t="n">
        <v>69</v>
      </c>
      <c r="B70" s="5" t="n">
        <v>7</v>
      </c>
      <c r="C70" s="6" t="s">
        <v>197</v>
      </c>
      <c r="D70" s="7" t="s">
        <v>231</v>
      </c>
      <c r="E70" s="8" t="s">
        <v>15</v>
      </c>
      <c r="F70" s="5" t="s">
        <v>194</v>
      </c>
      <c r="G70" s="5" t="n">
        <v>9</v>
      </c>
      <c r="H70" s="5" t="n">
        <v>95</v>
      </c>
      <c r="I70" s="5" t="s">
        <v>232</v>
      </c>
      <c r="J70" s="6" t="n">
        <v>93.4</v>
      </c>
      <c r="K70" s="5" t="n">
        <f aca="false">IF(H70="","",H70-A70)</f>
        <v>26</v>
      </c>
      <c r="L70" s="5" t="n">
        <v>3</v>
      </c>
      <c r="M70" s="6"/>
    </row>
    <row r="71" customFormat="false" ht="15" hidden="false" customHeight="false" outlineLevel="0" collapsed="false">
      <c r="A71" s="5" t="n">
        <v>70</v>
      </c>
      <c r="B71" s="5" t="n">
        <v>7</v>
      </c>
      <c r="C71" s="6" t="s">
        <v>197</v>
      </c>
      <c r="D71" s="7" t="s">
        <v>233</v>
      </c>
      <c r="E71" s="9" t="s">
        <v>22</v>
      </c>
      <c r="F71" s="5" t="s">
        <v>153</v>
      </c>
      <c r="G71" s="5" t="n">
        <v>10</v>
      </c>
      <c r="H71" s="5" t="n">
        <v>65</v>
      </c>
      <c r="I71" s="5" t="s">
        <v>234</v>
      </c>
      <c r="J71" s="6" t="n">
        <v>85.3</v>
      </c>
      <c r="K71" s="5" t="n">
        <f aca="false">IF(H71="","",H71-A71)</f>
        <v>-5</v>
      </c>
      <c r="L71" s="5" t="n">
        <v>7</v>
      </c>
      <c r="M71" s="10" t="s">
        <v>235</v>
      </c>
    </row>
    <row r="72" customFormat="false" ht="15" hidden="false" customHeight="false" outlineLevel="0" collapsed="false">
      <c r="A72" s="5" t="n">
        <v>71</v>
      </c>
      <c r="B72" s="5" t="n">
        <v>7</v>
      </c>
      <c r="C72" s="6" t="s">
        <v>197</v>
      </c>
      <c r="D72" s="7" t="s">
        <v>236</v>
      </c>
      <c r="E72" s="9" t="s">
        <v>22</v>
      </c>
      <c r="F72" s="5" t="s">
        <v>34</v>
      </c>
      <c r="G72" s="5" t="n">
        <v>8</v>
      </c>
      <c r="H72" s="5" t="n">
        <v>77</v>
      </c>
      <c r="I72" s="5" t="s">
        <v>237</v>
      </c>
      <c r="J72" s="6" t="n">
        <v>56.9</v>
      </c>
      <c r="K72" s="5" t="n">
        <f aca="false">IF(H72="","",H72-A72)</f>
        <v>6</v>
      </c>
      <c r="L72" s="5" t="n">
        <v>5</v>
      </c>
      <c r="M72" s="10" t="s">
        <v>238</v>
      </c>
    </row>
    <row r="73" customFormat="false" ht="15" hidden="false" customHeight="false" outlineLevel="0" collapsed="false">
      <c r="A73" s="5" t="n">
        <v>72</v>
      </c>
      <c r="B73" s="5" t="n">
        <v>7</v>
      </c>
      <c r="C73" s="6" t="s">
        <v>197</v>
      </c>
      <c r="D73" s="7" t="s">
        <v>239</v>
      </c>
      <c r="E73" s="8" t="s">
        <v>15</v>
      </c>
      <c r="F73" s="5" t="s">
        <v>190</v>
      </c>
      <c r="G73" s="5" t="n">
        <v>11</v>
      </c>
      <c r="H73" s="5" t="n">
        <v>100</v>
      </c>
      <c r="I73" s="5" t="s">
        <v>240</v>
      </c>
      <c r="J73" s="6"/>
      <c r="K73" s="5" t="n">
        <f aca="false">IF(H73="","",H73-A73)</f>
        <v>28</v>
      </c>
      <c r="L73" s="5" t="n">
        <v>2</v>
      </c>
      <c r="M73" s="10" t="s">
        <v>241</v>
      </c>
    </row>
    <row r="74" customFormat="false" ht="15" hidden="false" customHeight="false" outlineLevel="0" collapsed="false">
      <c r="A74" s="2" t="n">
        <v>73</v>
      </c>
      <c r="B74" s="2" t="n">
        <v>8</v>
      </c>
      <c r="C74" s="3" t="s">
        <v>242</v>
      </c>
      <c r="D74" s="4" t="s">
        <v>243</v>
      </c>
      <c r="E74" s="2" t="s">
        <v>22</v>
      </c>
      <c r="F74" s="2" t="s">
        <v>194</v>
      </c>
      <c r="G74" s="2" t="n">
        <v>9</v>
      </c>
      <c r="H74" s="2" t="n">
        <v>66</v>
      </c>
      <c r="I74" s="2" t="s">
        <v>244</v>
      </c>
      <c r="J74" s="3" t="n">
        <v>93.4</v>
      </c>
      <c r="K74" s="2" t="n">
        <f aca="false">IF(H74="","",H74-A74)</f>
        <v>-7</v>
      </c>
      <c r="L74" s="2" t="n">
        <v>7</v>
      </c>
      <c r="M74" s="10" t="s">
        <v>245</v>
      </c>
    </row>
    <row r="75" customFormat="false" ht="15" hidden="false" customHeight="false" outlineLevel="0" collapsed="false">
      <c r="A75" s="5" t="n">
        <v>74</v>
      </c>
      <c r="B75" s="5" t="n">
        <v>8</v>
      </c>
      <c r="C75" s="6" t="s">
        <v>242</v>
      </c>
      <c r="D75" s="7" t="s">
        <v>246</v>
      </c>
      <c r="E75" s="11" t="s">
        <v>59</v>
      </c>
      <c r="F75" s="5" t="s">
        <v>190</v>
      </c>
      <c r="G75" s="5" t="n">
        <v>11</v>
      </c>
      <c r="H75" s="5" t="n">
        <v>102</v>
      </c>
      <c r="I75" s="5" t="s">
        <v>247</v>
      </c>
      <c r="J75" s="6" t="n">
        <v>78.9</v>
      </c>
      <c r="K75" s="5" t="n">
        <f aca="false">IF(H75="","",H75-A75)</f>
        <v>28</v>
      </c>
      <c r="L75" s="5" t="n">
        <v>2</v>
      </c>
      <c r="M75" s="10" t="s">
        <v>248</v>
      </c>
    </row>
    <row r="76" customFormat="false" ht="15" hidden="false" customHeight="false" outlineLevel="0" collapsed="false">
      <c r="A76" s="5" t="n">
        <v>75</v>
      </c>
      <c r="B76" s="5" t="n">
        <v>8</v>
      </c>
      <c r="C76" s="6" t="s">
        <v>242</v>
      </c>
      <c r="D76" s="7" t="s">
        <v>249</v>
      </c>
      <c r="E76" s="8" t="s">
        <v>15</v>
      </c>
      <c r="F76" s="5" t="s">
        <v>131</v>
      </c>
      <c r="G76" s="5" t="n">
        <v>5</v>
      </c>
      <c r="H76" s="5" t="n">
        <v>96</v>
      </c>
      <c r="I76" s="5" t="s">
        <v>250</v>
      </c>
      <c r="J76" s="6" t="n">
        <v>78</v>
      </c>
      <c r="K76" s="5" t="n">
        <f aca="false">IF(H76="","",H76-A76)</f>
        <v>21</v>
      </c>
      <c r="L76" s="5" t="n">
        <v>2</v>
      </c>
      <c r="M76" s="10" t="s">
        <v>251</v>
      </c>
    </row>
    <row r="77" customFormat="false" ht="15" hidden="false" customHeight="false" outlineLevel="0" collapsed="false">
      <c r="A77" s="5" t="n">
        <v>76</v>
      </c>
      <c r="B77" s="5" t="n">
        <v>8</v>
      </c>
      <c r="C77" s="6" t="s">
        <v>242</v>
      </c>
      <c r="D77" s="7" t="s">
        <v>252</v>
      </c>
      <c r="E77" s="8" t="s">
        <v>15</v>
      </c>
      <c r="F77" s="5" t="s">
        <v>68</v>
      </c>
      <c r="G77" s="5" t="n">
        <v>11</v>
      </c>
      <c r="H77" s="5" t="n">
        <v>97</v>
      </c>
      <c r="I77" s="5" t="s">
        <v>253</v>
      </c>
      <c r="J77" s="6" t="n">
        <v>57.4</v>
      </c>
      <c r="K77" s="5" t="n">
        <f aca="false">IF(H77="","",H77-A77)</f>
        <v>21</v>
      </c>
      <c r="L77" s="5" t="n">
        <v>2</v>
      </c>
      <c r="M77" s="6"/>
    </row>
    <row r="78" customFormat="false" ht="15" hidden="false" customHeight="false" outlineLevel="0" collapsed="false">
      <c r="A78" s="5" t="n">
        <v>77</v>
      </c>
      <c r="B78" s="5" t="n">
        <v>8</v>
      </c>
      <c r="C78" s="6" t="s">
        <v>242</v>
      </c>
      <c r="D78" s="7" t="s">
        <v>254</v>
      </c>
      <c r="E78" s="9" t="s">
        <v>22</v>
      </c>
      <c r="F78" s="5" t="s">
        <v>186</v>
      </c>
      <c r="G78" s="5" t="n">
        <v>7</v>
      </c>
      <c r="H78" s="5" t="n">
        <v>81</v>
      </c>
      <c r="I78" s="5" t="s">
        <v>255</v>
      </c>
      <c r="J78" s="6" t="n">
        <v>106</v>
      </c>
      <c r="K78" s="5" t="n">
        <f aca="false">IF(H78="","",H78-A78)</f>
        <v>4</v>
      </c>
      <c r="L78" s="5" t="n">
        <v>4</v>
      </c>
      <c r="M78" s="6"/>
    </row>
    <row r="79" customFormat="false" ht="15" hidden="false" customHeight="false" outlineLevel="0" collapsed="false">
      <c r="A79" s="5" t="n">
        <v>78</v>
      </c>
      <c r="B79" s="5" t="n">
        <v>8</v>
      </c>
      <c r="C79" s="6" t="s">
        <v>242</v>
      </c>
      <c r="D79" s="7" t="s">
        <v>256</v>
      </c>
      <c r="E79" s="9" t="s">
        <v>22</v>
      </c>
      <c r="F79" s="5" t="s">
        <v>190</v>
      </c>
      <c r="G79" s="5" t="n">
        <v>11</v>
      </c>
      <c r="H79" s="5" t="n">
        <v>78</v>
      </c>
      <c r="I79" s="5" t="s">
        <v>257</v>
      </c>
      <c r="J79" s="6" t="n">
        <v>109.1</v>
      </c>
      <c r="K79" s="5" t="n">
        <f aca="false">IF(H79="","",H79-A79)</f>
        <v>0</v>
      </c>
      <c r="L79" s="5" t="n">
        <v>4</v>
      </c>
      <c r="M79" s="10" t="s">
        <v>258</v>
      </c>
    </row>
    <row r="80" customFormat="false" ht="15" hidden="false" customHeight="false" outlineLevel="0" collapsed="false">
      <c r="A80" s="5" t="n">
        <v>79</v>
      </c>
      <c r="B80" s="5" t="n">
        <v>8</v>
      </c>
      <c r="C80" s="6" t="s">
        <v>242</v>
      </c>
      <c r="D80" s="7" t="s">
        <v>259</v>
      </c>
      <c r="E80" s="8" t="s">
        <v>15</v>
      </c>
      <c r="F80" s="5" t="s">
        <v>156</v>
      </c>
      <c r="G80" s="5" t="n">
        <v>10</v>
      </c>
      <c r="H80" s="5" t="n">
        <v>99</v>
      </c>
      <c r="I80" s="5" t="s">
        <v>260</v>
      </c>
      <c r="J80" s="6" t="n">
        <v>98.6</v>
      </c>
      <c r="K80" s="5" t="n">
        <f aca="false">IF(H80="","",H80-A80)</f>
        <v>20</v>
      </c>
      <c r="L80" s="5" t="n">
        <v>2</v>
      </c>
      <c r="M80" s="10" t="s">
        <v>261</v>
      </c>
    </row>
    <row r="81" customFormat="false" ht="15" hidden="false" customHeight="false" outlineLevel="0" collapsed="false">
      <c r="A81" s="5" t="n">
        <v>80</v>
      </c>
      <c r="B81" s="5" t="n">
        <v>8</v>
      </c>
      <c r="C81" s="6" t="s">
        <v>242</v>
      </c>
      <c r="D81" s="7" t="s">
        <v>262</v>
      </c>
      <c r="E81" s="8" t="s">
        <v>15</v>
      </c>
      <c r="F81" s="5" t="s">
        <v>131</v>
      </c>
      <c r="G81" s="5" t="n">
        <v>5</v>
      </c>
      <c r="H81" s="5" t="n">
        <v>105</v>
      </c>
      <c r="I81" s="5" t="s">
        <v>263</v>
      </c>
      <c r="J81" s="6" t="n">
        <v>94</v>
      </c>
      <c r="K81" s="5" t="n">
        <f aca="false">IF(H81="","",H81-A81)</f>
        <v>25</v>
      </c>
      <c r="L81" s="5" t="n">
        <v>2</v>
      </c>
      <c r="M81" s="10" t="s">
        <v>264</v>
      </c>
    </row>
    <row r="82" customFormat="false" ht="15" hidden="false" customHeight="false" outlineLevel="0" collapsed="false">
      <c r="A82" s="5" t="n">
        <v>81</v>
      </c>
      <c r="B82" s="5" t="n">
        <v>8</v>
      </c>
      <c r="C82" s="6" t="s">
        <v>242</v>
      </c>
      <c r="D82" s="7" t="s">
        <v>265</v>
      </c>
      <c r="E82" s="8" t="s">
        <v>15</v>
      </c>
      <c r="F82" s="5" t="s">
        <v>153</v>
      </c>
      <c r="G82" s="5" t="n">
        <v>10</v>
      </c>
      <c r="H82" s="5" t="n">
        <v>106</v>
      </c>
      <c r="I82" s="5" t="s">
        <v>266</v>
      </c>
      <c r="J82" s="6" t="n">
        <v>98.2</v>
      </c>
      <c r="K82" s="5" t="n">
        <f aca="false">IF(H82="","",H82-A82)</f>
        <v>25</v>
      </c>
      <c r="L82" s="5" t="n">
        <v>2</v>
      </c>
      <c r="M82" s="6"/>
    </row>
    <row r="83" customFormat="false" ht="15" hidden="false" customHeight="false" outlineLevel="0" collapsed="false">
      <c r="A83" s="5" t="n">
        <v>82</v>
      </c>
      <c r="B83" s="5" t="n">
        <v>8</v>
      </c>
      <c r="C83" s="6" t="s">
        <v>242</v>
      </c>
      <c r="D83" s="7" t="s">
        <v>267</v>
      </c>
      <c r="E83" s="9" t="s">
        <v>22</v>
      </c>
      <c r="F83" s="5" t="s">
        <v>40</v>
      </c>
      <c r="G83" s="5" t="n">
        <v>13</v>
      </c>
      <c r="H83" s="5" t="n">
        <v>70</v>
      </c>
      <c r="I83" s="5" t="s">
        <v>268</v>
      </c>
      <c r="J83" s="6" t="n">
        <v>100.6</v>
      </c>
      <c r="K83" s="5" t="n">
        <f aca="false">IF(H83="","",H83-A83)</f>
        <v>-12</v>
      </c>
      <c r="L83" s="5" t="n">
        <v>6</v>
      </c>
      <c r="M83" s="10" t="s">
        <v>269</v>
      </c>
    </row>
    <row r="84" customFormat="false" ht="15" hidden="false" customHeight="false" outlineLevel="0" collapsed="false">
      <c r="A84" s="5" t="n">
        <v>83</v>
      </c>
      <c r="B84" s="5" t="n">
        <v>8</v>
      </c>
      <c r="C84" s="6" t="s">
        <v>242</v>
      </c>
      <c r="D84" s="7" t="s">
        <v>270</v>
      </c>
      <c r="E84" s="9" t="s">
        <v>22</v>
      </c>
      <c r="F84" s="5" t="s">
        <v>102</v>
      </c>
      <c r="G84" s="5" t="n">
        <v>14</v>
      </c>
      <c r="H84" s="5" t="n">
        <v>80</v>
      </c>
      <c r="I84" s="5" t="s">
        <v>271</v>
      </c>
      <c r="J84" s="6" t="n">
        <v>91.7</v>
      </c>
      <c r="K84" s="5" t="n">
        <f aca="false">IF(H84="","",H84-A84)</f>
        <v>-3</v>
      </c>
      <c r="L84" s="5" t="n">
        <v>4</v>
      </c>
      <c r="M84" s="10" t="s">
        <v>100</v>
      </c>
    </row>
    <row r="85" customFormat="false" ht="15" hidden="false" customHeight="false" outlineLevel="0" collapsed="false">
      <c r="A85" s="5" t="n">
        <v>84</v>
      </c>
      <c r="B85" s="5" t="n">
        <v>8</v>
      </c>
      <c r="C85" s="6" t="s">
        <v>242</v>
      </c>
      <c r="D85" s="7" t="s">
        <v>272</v>
      </c>
      <c r="E85" s="8" t="s">
        <v>15</v>
      </c>
      <c r="F85" s="5" t="s">
        <v>159</v>
      </c>
      <c r="G85" s="5" t="n">
        <v>10</v>
      </c>
      <c r="H85" s="5" t="n">
        <v>107</v>
      </c>
      <c r="I85" s="5" t="s">
        <v>273</v>
      </c>
      <c r="J85" s="6" t="n">
        <v>103.7</v>
      </c>
      <c r="K85" s="5" t="n">
        <f aca="false">IF(H85="","",H85-A85)</f>
        <v>23</v>
      </c>
      <c r="L85" s="5" t="n">
        <v>2</v>
      </c>
      <c r="M85" s="6"/>
    </row>
    <row r="86" customFormat="false" ht="15" hidden="false" customHeight="false" outlineLevel="0" collapsed="false">
      <c r="A86" s="5" t="n">
        <v>85</v>
      </c>
      <c r="B86" s="5" t="n">
        <v>8</v>
      </c>
      <c r="C86" s="6" t="s">
        <v>242</v>
      </c>
      <c r="D86" s="7" t="s">
        <v>274</v>
      </c>
      <c r="E86" s="8" t="s">
        <v>15</v>
      </c>
      <c r="F86" s="5" t="s">
        <v>136</v>
      </c>
      <c r="G86" s="5" t="n">
        <v>7</v>
      </c>
      <c r="H86" s="5" t="n">
        <v>108</v>
      </c>
      <c r="I86" s="5" t="s">
        <v>275</v>
      </c>
      <c r="J86" s="6" t="n">
        <v>113.9</v>
      </c>
      <c r="K86" s="5" t="n">
        <f aca="false">IF(H86="","",H86-A86)</f>
        <v>23</v>
      </c>
      <c r="L86" s="5" t="n">
        <v>2</v>
      </c>
      <c r="M86" s="6"/>
    </row>
    <row r="87" customFormat="false" ht="15" hidden="false" customHeight="false" outlineLevel="0" collapsed="false">
      <c r="A87" s="5" t="n">
        <v>86</v>
      </c>
      <c r="B87" s="5" t="n">
        <v>8</v>
      </c>
      <c r="C87" s="6" t="s">
        <v>242</v>
      </c>
      <c r="D87" s="7" t="s">
        <v>276</v>
      </c>
      <c r="E87" s="9" t="s">
        <v>22</v>
      </c>
      <c r="F87" s="5" t="s">
        <v>75</v>
      </c>
      <c r="G87" s="5" t="n">
        <v>7</v>
      </c>
      <c r="H87" s="5" t="n">
        <v>113</v>
      </c>
      <c r="I87" s="5" t="s">
        <v>277</v>
      </c>
      <c r="J87" s="6" t="n">
        <v>83.6</v>
      </c>
      <c r="K87" s="5" t="n">
        <f aca="false">IF(H87="","",H87-A87)</f>
        <v>27</v>
      </c>
      <c r="L87" s="5" t="n">
        <v>2</v>
      </c>
      <c r="M87" s="10" t="s">
        <v>278</v>
      </c>
    </row>
    <row r="88" customFormat="false" ht="15" hidden="false" customHeight="false" outlineLevel="0" collapsed="false">
      <c r="A88" s="5" t="n">
        <v>87</v>
      </c>
      <c r="B88" s="5" t="n">
        <v>8</v>
      </c>
      <c r="C88" s="6" t="s">
        <v>242</v>
      </c>
      <c r="D88" s="7" t="s">
        <v>279</v>
      </c>
      <c r="E88" s="9" t="s">
        <v>22</v>
      </c>
      <c r="F88" s="5" t="s">
        <v>40</v>
      </c>
      <c r="G88" s="5" t="n">
        <v>13</v>
      </c>
      <c r="H88" s="5" t="n">
        <v>124</v>
      </c>
      <c r="I88" s="5" t="s">
        <v>280</v>
      </c>
      <c r="J88" s="6" t="n">
        <v>92</v>
      </c>
      <c r="K88" s="5" t="n">
        <f aca="false">IF(H88="","",H88-A88)</f>
        <v>37</v>
      </c>
      <c r="L88" s="5" t="n">
        <v>1</v>
      </c>
      <c r="M88" s="10" t="s">
        <v>281</v>
      </c>
    </row>
    <row r="89" customFormat="false" ht="15" hidden="false" customHeight="false" outlineLevel="0" collapsed="false">
      <c r="A89" s="5" t="n">
        <v>88</v>
      </c>
      <c r="B89" s="5" t="n">
        <v>8</v>
      </c>
      <c r="C89" s="6" t="s">
        <v>242</v>
      </c>
      <c r="D89" s="7" t="s">
        <v>282</v>
      </c>
      <c r="E89" s="9" t="s">
        <v>22</v>
      </c>
      <c r="F89" s="5" t="s">
        <v>190</v>
      </c>
      <c r="G89" s="5" t="n">
        <v>11</v>
      </c>
      <c r="H89" s="5" t="n">
        <v>92</v>
      </c>
      <c r="I89" s="5" t="s">
        <v>283</v>
      </c>
      <c r="J89" s="6" t="n">
        <v>92.7</v>
      </c>
      <c r="K89" s="5" t="n">
        <f aca="false">IF(H89="","",H89-A89)</f>
        <v>4</v>
      </c>
      <c r="L89" s="5" t="n">
        <v>3</v>
      </c>
      <c r="M89" s="6"/>
    </row>
    <row r="90" customFormat="false" ht="15" hidden="false" customHeight="false" outlineLevel="0" collapsed="false">
      <c r="A90" s="5" t="n">
        <v>89</v>
      </c>
      <c r="B90" s="5" t="n">
        <v>8</v>
      </c>
      <c r="C90" s="6" t="s">
        <v>242</v>
      </c>
      <c r="D90" s="7" t="s">
        <v>284</v>
      </c>
      <c r="E90" s="9" t="s">
        <v>22</v>
      </c>
      <c r="F90" s="5" t="s">
        <v>47</v>
      </c>
      <c r="G90" s="5" t="n">
        <v>6</v>
      </c>
      <c r="H90" s="5" t="n">
        <v>89</v>
      </c>
      <c r="I90" s="5" t="s">
        <v>285</v>
      </c>
      <c r="J90" s="6" t="n">
        <v>98.3</v>
      </c>
      <c r="K90" s="5" t="n">
        <f aca="false">IF(H90="","",H90-A90)</f>
        <v>0</v>
      </c>
      <c r="L90" s="5" t="n">
        <v>3</v>
      </c>
      <c r="M90" s="6"/>
    </row>
    <row r="91" customFormat="false" ht="15" hidden="false" customHeight="false" outlineLevel="0" collapsed="false">
      <c r="A91" s="5" t="n">
        <v>90</v>
      </c>
      <c r="B91" s="5" t="n">
        <v>8</v>
      </c>
      <c r="C91" s="6" t="s">
        <v>242</v>
      </c>
      <c r="D91" s="7" t="s">
        <v>286</v>
      </c>
      <c r="E91" s="9" t="s">
        <v>22</v>
      </c>
      <c r="F91" s="5" t="s">
        <v>156</v>
      </c>
      <c r="G91" s="5" t="n">
        <v>10</v>
      </c>
      <c r="H91" s="5" t="n">
        <v>127</v>
      </c>
      <c r="I91" s="5" t="s">
        <v>287</v>
      </c>
      <c r="J91" s="6" t="n">
        <v>79.6</v>
      </c>
      <c r="K91" s="5" t="n">
        <f aca="false">IF(H91="","",H91-A91)</f>
        <v>37</v>
      </c>
      <c r="L91" s="5" t="n">
        <v>1</v>
      </c>
      <c r="M91" s="10" t="s">
        <v>288</v>
      </c>
    </row>
    <row r="92" customFormat="false" ht="15" hidden="false" customHeight="false" outlineLevel="0" collapsed="false">
      <c r="A92" s="5" t="n">
        <v>91</v>
      </c>
      <c r="B92" s="5" t="n">
        <v>8</v>
      </c>
      <c r="C92" s="6" t="s">
        <v>242</v>
      </c>
      <c r="D92" s="7" t="s">
        <v>289</v>
      </c>
      <c r="E92" s="8" t="s">
        <v>15</v>
      </c>
      <c r="F92" s="5" t="s">
        <v>47</v>
      </c>
      <c r="G92" s="5" t="n">
        <v>6</v>
      </c>
      <c r="H92" s="5" t="n">
        <v>115</v>
      </c>
      <c r="I92" s="5" t="s">
        <v>290</v>
      </c>
      <c r="J92" s="6" t="n">
        <v>128.7</v>
      </c>
      <c r="K92" s="5" t="n">
        <f aca="false">IF(H92="","",H92-A92)</f>
        <v>24</v>
      </c>
      <c r="L92" s="5" t="n">
        <v>2</v>
      </c>
      <c r="M92" s="6"/>
    </row>
    <row r="93" customFormat="false" ht="15" hidden="false" customHeight="false" outlineLevel="0" collapsed="false">
      <c r="A93" s="5" t="n">
        <v>92</v>
      </c>
      <c r="B93" s="5" t="n">
        <v>8</v>
      </c>
      <c r="C93" s="6" t="s">
        <v>242</v>
      </c>
      <c r="D93" s="7" t="s">
        <v>291</v>
      </c>
      <c r="E93" s="8" t="s">
        <v>15</v>
      </c>
      <c r="F93" s="5" t="s">
        <v>47</v>
      </c>
      <c r="G93" s="5" t="n">
        <v>6</v>
      </c>
      <c r="H93" s="5" t="n">
        <v>121</v>
      </c>
      <c r="I93" s="5" t="s">
        <v>292</v>
      </c>
      <c r="J93" s="6" t="n">
        <v>102.6</v>
      </c>
      <c r="K93" s="5" t="n">
        <f aca="false">IF(H93="","",H93-A93)</f>
        <v>29</v>
      </c>
      <c r="L93" s="5" t="n">
        <v>1</v>
      </c>
      <c r="M93" s="10" t="s">
        <v>293</v>
      </c>
    </row>
    <row r="94" customFormat="false" ht="15" hidden="false" customHeight="false" outlineLevel="0" collapsed="false">
      <c r="A94" s="2" t="n">
        <v>93</v>
      </c>
      <c r="B94" s="2" t="n">
        <v>9</v>
      </c>
      <c r="C94" s="3" t="s">
        <v>294</v>
      </c>
      <c r="D94" s="4" t="s">
        <v>295</v>
      </c>
      <c r="E94" s="2" t="s">
        <v>174</v>
      </c>
      <c r="F94" s="2" t="s">
        <v>79</v>
      </c>
      <c r="G94" s="2" t="n">
        <v>13</v>
      </c>
      <c r="H94" s="2" t="n">
        <v>56</v>
      </c>
      <c r="I94" s="2" t="s">
        <v>296</v>
      </c>
      <c r="J94" s="3" t="n">
        <v>52.2</v>
      </c>
      <c r="K94" s="2" t="n">
        <f aca="false">IF(H94="","",H94-A94)</f>
        <v>-37</v>
      </c>
      <c r="L94" s="2" t="n">
        <v>10</v>
      </c>
      <c r="M94" s="3"/>
    </row>
    <row r="95" customFormat="false" ht="15" hidden="false" customHeight="false" outlineLevel="0" collapsed="false">
      <c r="A95" s="5" t="n">
        <v>94</v>
      </c>
      <c r="B95" s="5" t="n">
        <v>9</v>
      </c>
      <c r="C95" s="6" t="s">
        <v>294</v>
      </c>
      <c r="D95" s="7" t="s">
        <v>297</v>
      </c>
      <c r="E95" s="12" t="s">
        <v>174</v>
      </c>
      <c r="F95" s="5" t="s">
        <v>68</v>
      </c>
      <c r="G95" s="5" t="n">
        <v>11</v>
      </c>
      <c r="H95" s="5" t="n">
        <v>57</v>
      </c>
      <c r="I95" s="5" t="s">
        <v>298</v>
      </c>
      <c r="J95" s="6" t="n">
        <v>64.6</v>
      </c>
      <c r="K95" s="5" t="n">
        <f aca="false">IF(H95="","",H95-A95)</f>
        <v>-37</v>
      </c>
      <c r="L95" s="5" t="n">
        <v>10</v>
      </c>
      <c r="M95" s="6"/>
    </row>
    <row r="96" customFormat="false" ht="15" hidden="false" customHeight="false" outlineLevel="0" collapsed="false">
      <c r="A96" s="5" t="n">
        <v>95</v>
      </c>
      <c r="B96" s="5" t="n">
        <v>9</v>
      </c>
      <c r="C96" s="6" t="s">
        <v>294</v>
      </c>
      <c r="D96" s="7" t="s">
        <v>299</v>
      </c>
      <c r="E96" s="12" t="s">
        <v>174</v>
      </c>
      <c r="F96" s="5" t="s">
        <v>23</v>
      </c>
      <c r="G96" s="5" t="n">
        <v>6</v>
      </c>
      <c r="H96" s="5" t="n">
        <v>74</v>
      </c>
      <c r="I96" s="5" t="s">
        <v>300</v>
      </c>
      <c r="J96" s="6" t="n">
        <v>64.5</v>
      </c>
      <c r="K96" s="5" t="n">
        <f aca="false">IF(H96="","",H96-A96)</f>
        <v>-21</v>
      </c>
      <c r="L96" s="5" t="n">
        <v>5</v>
      </c>
      <c r="M96" s="6"/>
    </row>
    <row r="97" customFormat="false" ht="15" hidden="false" customHeight="false" outlineLevel="0" collapsed="false">
      <c r="A97" s="5" t="n">
        <v>96</v>
      </c>
      <c r="B97" s="5" t="n">
        <v>9</v>
      </c>
      <c r="C97" s="6" t="s">
        <v>294</v>
      </c>
      <c r="D97" s="7" t="s">
        <v>301</v>
      </c>
      <c r="E97" s="12" t="s">
        <v>174</v>
      </c>
      <c r="F97" s="5" t="s">
        <v>136</v>
      </c>
      <c r="G97" s="5" t="n">
        <v>7</v>
      </c>
      <c r="H97" s="5" t="n">
        <v>55</v>
      </c>
      <c r="I97" s="5" t="s">
        <v>302</v>
      </c>
      <c r="J97" s="6" t="n">
        <v>73.4</v>
      </c>
      <c r="K97" s="5" t="n">
        <f aca="false">IF(H97="","",H97-A97)</f>
        <v>-41</v>
      </c>
      <c r="L97" s="5" t="n">
        <v>10</v>
      </c>
      <c r="M97" s="10" t="s">
        <v>303</v>
      </c>
    </row>
    <row r="98" customFormat="false" ht="15" hidden="false" customHeight="false" outlineLevel="0" collapsed="false">
      <c r="A98" s="5" t="n">
        <v>97</v>
      </c>
      <c r="B98" s="5" t="n">
        <v>9</v>
      </c>
      <c r="C98" s="6" t="s">
        <v>294</v>
      </c>
      <c r="D98" s="7" t="s">
        <v>304</v>
      </c>
      <c r="E98" s="12" t="s">
        <v>174</v>
      </c>
      <c r="F98" s="5" t="s">
        <v>72</v>
      </c>
      <c r="G98" s="5" t="n">
        <v>10</v>
      </c>
      <c r="H98" s="5" t="n">
        <v>58</v>
      </c>
      <c r="I98" s="5" t="s">
        <v>305</v>
      </c>
      <c r="J98" s="6" t="n">
        <v>77.9</v>
      </c>
      <c r="K98" s="5" t="n">
        <f aca="false">IF(H98="","",H98-A98)</f>
        <v>-39</v>
      </c>
      <c r="L98" s="5" t="n">
        <v>9</v>
      </c>
      <c r="M98" s="10" t="s">
        <v>306</v>
      </c>
    </row>
    <row r="99" customFormat="false" ht="15" hidden="false" customHeight="false" outlineLevel="0" collapsed="false">
      <c r="A99" s="5" t="n">
        <v>98</v>
      </c>
      <c r="B99" s="5" t="n">
        <v>9</v>
      </c>
      <c r="C99" s="6" t="s">
        <v>294</v>
      </c>
      <c r="D99" s="7" t="s">
        <v>307</v>
      </c>
      <c r="E99" s="8" t="s">
        <v>15</v>
      </c>
      <c r="F99" s="5" t="s">
        <v>27</v>
      </c>
      <c r="G99" s="5" t="n">
        <v>11</v>
      </c>
      <c r="H99" s="5" t="n">
        <v>122</v>
      </c>
      <c r="I99" s="5" t="s">
        <v>308</v>
      </c>
      <c r="J99" s="6" t="n">
        <v>95.1</v>
      </c>
      <c r="K99" s="5" t="n">
        <f aca="false">IF(H99="","",H99-A99)</f>
        <v>24</v>
      </c>
      <c r="L99" s="5" t="n">
        <v>1</v>
      </c>
      <c r="M99" s="10" t="s">
        <v>309</v>
      </c>
    </row>
    <row r="100" customFormat="false" ht="15" hidden="false" customHeight="false" outlineLevel="0" collapsed="false">
      <c r="A100" s="5" t="n">
        <v>99</v>
      </c>
      <c r="B100" s="5" t="n">
        <v>9</v>
      </c>
      <c r="C100" s="6" t="s">
        <v>294</v>
      </c>
      <c r="D100" s="7" t="s">
        <v>310</v>
      </c>
      <c r="E100" s="8" t="s">
        <v>15</v>
      </c>
      <c r="F100" s="5" t="s">
        <v>153</v>
      </c>
      <c r="G100" s="5" t="n">
        <v>10</v>
      </c>
      <c r="H100" s="5" t="n">
        <v>123</v>
      </c>
      <c r="I100" s="5" t="s">
        <v>311</v>
      </c>
      <c r="J100" s="6" t="n">
        <v>88.8</v>
      </c>
      <c r="K100" s="5" t="n">
        <f aca="false">IF(H100="","",H100-A100)</f>
        <v>24</v>
      </c>
      <c r="L100" s="5" t="n">
        <v>1</v>
      </c>
      <c r="M100" s="10" t="s">
        <v>312</v>
      </c>
    </row>
    <row r="101" customFormat="false" ht="15" hidden="false" customHeight="false" outlineLevel="0" collapsed="false">
      <c r="A101" s="5" t="n">
        <v>100</v>
      </c>
      <c r="B101" s="5" t="n">
        <v>9</v>
      </c>
      <c r="C101" s="6" t="s">
        <v>294</v>
      </c>
      <c r="D101" s="7" t="s">
        <v>313</v>
      </c>
      <c r="E101" s="9" t="s">
        <v>22</v>
      </c>
      <c r="F101" s="5" t="s">
        <v>72</v>
      </c>
      <c r="G101" s="5" t="n">
        <v>10</v>
      </c>
      <c r="H101" s="5" t="n">
        <v>126</v>
      </c>
      <c r="I101" s="5" t="s">
        <v>314</v>
      </c>
      <c r="J101" s="6" t="n">
        <v>96.4</v>
      </c>
      <c r="K101" s="5" t="n">
        <f aca="false">IF(H101="","",H101-A101)</f>
        <v>26</v>
      </c>
      <c r="L101" s="5" t="n">
        <v>1</v>
      </c>
      <c r="M101" s="10" t="s">
        <v>315</v>
      </c>
    </row>
    <row r="102" customFormat="false" ht="15" hidden="false" customHeight="false" outlineLevel="0" collapsed="false">
      <c r="A102" s="5" t="n">
        <v>101</v>
      </c>
      <c r="B102" s="5" t="n">
        <v>9</v>
      </c>
      <c r="C102" s="6" t="s">
        <v>294</v>
      </c>
      <c r="D102" s="7" t="s">
        <v>316</v>
      </c>
      <c r="E102" s="9" t="s">
        <v>22</v>
      </c>
      <c r="F102" s="5" t="s">
        <v>136</v>
      </c>
      <c r="G102" s="5" t="n">
        <v>7</v>
      </c>
      <c r="H102" s="5" t="n">
        <v>114</v>
      </c>
      <c r="I102" s="5" t="s">
        <v>317</v>
      </c>
      <c r="J102" s="6" t="n">
        <v>102</v>
      </c>
      <c r="K102" s="5" t="n">
        <f aca="false">IF(H102="","",H102-A102)</f>
        <v>13</v>
      </c>
      <c r="L102" s="5" t="n">
        <v>2</v>
      </c>
      <c r="M102" s="10" t="s">
        <v>318</v>
      </c>
    </row>
    <row r="103" customFormat="false" ht="15" hidden="false" customHeight="false" outlineLevel="0" collapsed="false">
      <c r="A103" s="5" t="n">
        <v>102</v>
      </c>
      <c r="B103" s="5" t="n">
        <v>9</v>
      </c>
      <c r="C103" s="6" t="s">
        <v>294</v>
      </c>
      <c r="D103" s="7" t="s">
        <v>319</v>
      </c>
      <c r="E103" s="9" t="s">
        <v>22</v>
      </c>
      <c r="F103" s="5" t="s">
        <v>91</v>
      </c>
      <c r="G103" s="5" t="n">
        <v>5</v>
      </c>
      <c r="H103" s="5" t="n">
        <v>112</v>
      </c>
      <c r="I103" s="5" t="s">
        <v>320</v>
      </c>
      <c r="J103" s="6" t="n">
        <v>117.7</v>
      </c>
      <c r="K103" s="5" t="n">
        <f aca="false">IF(H103="","",H103-A103)</f>
        <v>10</v>
      </c>
      <c r="L103" s="5" t="n">
        <v>2</v>
      </c>
      <c r="M103" s="6"/>
    </row>
    <row r="104" customFormat="false" ht="15" hidden="false" customHeight="false" outlineLevel="0" collapsed="false">
      <c r="A104" s="5" t="n">
        <v>103</v>
      </c>
      <c r="B104" s="5" t="n">
        <v>9</v>
      </c>
      <c r="C104" s="6" t="s">
        <v>294</v>
      </c>
      <c r="D104" s="7" t="s">
        <v>321</v>
      </c>
      <c r="E104" s="9" t="s">
        <v>22</v>
      </c>
      <c r="F104" s="5" t="s">
        <v>56</v>
      </c>
      <c r="G104" s="5" t="n">
        <v>7</v>
      </c>
      <c r="H104" s="5" t="n">
        <v>91</v>
      </c>
      <c r="I104" s="5" t="s">
        <v>322</v>
      </c>
      <c r="J104" s="6" t="n">
        <v>124.4</v>
      </c>
      <c r="K104" s="5" t="n">
        <f aca="false">IF(H104="","",H104-A104)</f>
        <v>-12</v>
      </c>
      <c r="L104" s="5" t="n">
        <v>3</v>
      </c>
      <c r="M104" s="10" t="s">
        <v>323</v>
      </c>
    </row>
    <row r="105" customFormat="false" ht="15" hidden="false" customHeight="false" outlineLevel="0" collapsed="false">
      <c r="A105" s="5" t="n">
        <v>104</v>
      </c>
      <c r="B105" s="5" t="n">
        <v>9</v>
      </c>
      <c r="C105" s="6" t="s">
        <v>294</v>
      </c>
      <c r="D105" s="7" t="s">
        <v>324</v>
      </c>
      <c r="E105" s="9" t="s">
        <v>22</v>
      </c>
      <c r="F105" s="5" t="s">
        <v>34</v>
      </c>
      <c r="G105" s="5" t="n">
        <v>8</v>
      </c>
      <c r="H105" s="5" t="n">
        <v>128</v>
      </c>
      <c r="I105" s="5" t="s">
        <v>325</v>
      </c>
      <c r="J105" s="6" t="n">
        <v>134.6</v>
      </c>
      <c r="K105" s="5" t="n">
        <f aca="false">IF(H105="","",H105-A105)</f>
        <v>24</v>
      </c>
      <c r="L105" s="5" t="n">
        <v>1</v>
      </c>
      <c r="M105" s="10" t="s">
        <v>326</v>
      </c>
    </row>
    <row r="106" customFormat="false" ht="15" hidden="false" customHeight="false" outlineLevel="0" collapsed="false">
      <c r="A106" s="5" t="n">
        <v>105</v>
      </c>
      <c r="B106" s="5" t="n">
        <v>9</v>
      </c>
      <c r="C106" s="6" t="s">
        <v>294</v>
      </c>
      <c r="D106" s="7" t="s">
        <v>327</v>
      </c>
      <c r="E106" s="9" t="s">
        <v>22</v>
      </c>
      <c r="F106" s="5" t="s">
        <v>30</v>
      </c>
      <c r="G106" s="5" t="n">
        <v>11</v>
      </c>
      <c r="H106" s="5" t="n">
        <v>131</v>
      </c>
      <c r="I106" s="5" t="s">
        <v>328</v>
      </c>
      <c r="J106" s="6"/>
      <c r="K106" s="5" t="n">
        <f aca="false">IF(H106="","",H106-A106)</f>
        <v>26</v>
      </c>
      <c r="L106" s="5" t="n">
        <v>1</v>
      </c>
      <c r="M106" s="6"/>
    </row>
    <row r="107" customFormat="false" ht="15" hidden="false" customHeight="false" outlineLevel="0" collapsed="false">
      <c r="A107" s="5" t="n">
        <v>106</v>
      </c>
      <c r="B107" s="5" t="n">
        <v>9</v>
      </c>
      <c r="C107" s="6" t="s">
        <v>294</v>
      </c>
      <c r="D107" s="7" t="s">
        <v>329</v>
      </c>
      <c r="E107" s="9" t="s">
        <v>22</v>
      </c>
      <c r="F107" s="5" t="s">
        <v>68</v>
      </c>
      <c r="G107" s="5" t="n">
        <v>11</v>
      </c>
      <c r="H107" s="5" t="n">
        <v>129</v>
      </c>
      <c r="I107" s="5" t="s">
        <v>330</v>
      </c>
      <c r="J107" s="6" t="n">
        <v>123.6</v>
      </c>
      <c r="K107" s="5" t="n">
        <f aca="false">IF(H107="","",H107-A107)</f>
        <v>23</v>
      </c>
      <c r="L107" s="5" t="n">
        <v>1</v>
      </c>
      <c r="M107" s="6"/>
    </row>
    <row r="108" customFormat="false" ht="15" hidden="false" customHeight="false" outlineLevel="0" collapsed="false">
      <c r="A108" s="5" t="n">
        <v>107</v>
      </c>
      <c r="B108" s="5" t="n">
        <v>9</v>
      </c>
      <c r="C108" s="6" t="s">
        <v>294</v>
      </c>
      <c r="D108" s="7" t="s">
        <v>331</v>
      </c>
      <c r="E108" s="9" t="s">
        <v>22</v>
      </c>
      <c r="F108" s="5" t="s">
        <v>131</v>
      </c>
      <c r="G108" s="5" t="n">
        <v>5</v>
      </c>
      <c r="H108" s="5" t="n">
        <v>130</v>
      </c>
      <c r="I108" s="5" t="s">
        <v>332</v>
      </c>
      <c r="J108" s="6"/>
      <c r="K108" s="5" t="n">
        <f aca="false">IF(H108="","",H108-A108)</f>
        <v>23</v>
      </c>
      <c r="L108" s="5" t="n">
        <v>1</v>
      </c>
      <c r="M108" s="10" t="s">
        <v>333</v>
      </c>
    </row>
    <row r="109" customFormat="false" ht="15" hidden="false" customHeight="false" outlineLevel="0" collapsed="false">
      <c r="A109" s="5" t="n">
        <v>108</v>
      </c>
      <c r="B109" s="5" t="n">
        <v>9</v>
      </c>
      <c r="C109" s="6" t="s">
        <v>294</v>
      </c>
      <c r="D109" s="7" t="s">
        <v>334</v>
      </c>
      <c r="E109" s="9" t="s">
        <v>22</v>
      </c>
      <c r="F109" s="5" t="s">
        <v>144</v>
      </c>
      <c r="G109" s="5" t="n">
        <v>11</v>
      </c>
      <c r="H109" s="5" t="n">
        <v>125</v>
      </c>
      <c r="I109" s="5" t="s">
        <v>335</v>
      </c>
      <c r="J109" s="6" t="n">
        <v>119.6</v>
      </c>
      <c r="K109" s="5" t="n">
        <f aca="false">IF(H109="","",H109-A109)</f>
        <v>17</v>
      </c>
      <c r="L109" s="5" t="n">
        <v>1</v>
      </c>
      <c r="M109" s="6"/>
    </row>
    <row r="110" customFormat="false" ht="15" hidden="false" customHeight="false" outlineLevel="0" collapsed="false">
      <c r="A110" s="5" t="n">
        <v>109</v>
      </c>
      <c r="B110" s="5" t="n">
        <v>9</v>
      </c>
      <c r="C110" s="6" t="s">
        <v>294</v>
      </c>
      <c r="D110" s="7" t="s">
        <v>336</v>
      </c>
      <c r="E110" s="12" t="s">
        <v>174</v>
      </c>
      <c r="F110" s="5" t="s">
        <v>186</v>
      </c>
      <c r="G110" s="5" t="n">
        <v>7</v>
      </c>
      <c r="H110" s="5" t="n">
        <v>82</v>
      </c>
      <c r="I110" s="5" t="s">
        <v>337</v>
      </c>
      <c r="J110" s="6" t="n">
        <v>85.1</v>
      </c>
      <c r="K110" s="5" t="n">
        <f aca="false">IF(H110="","",H110-A110)</f>
        <v>-27</v>
      </c>
      <c r="L110" s="5" t="n">
        <v>4</v>
      </c>
      <c r="M110" s="10" t="s">
        <v>338</v>
      </c>
    </row>
    <row r="111" customFormat="false" ht="15" hidden="false" customHeight="false" outlineLevel="0" collapsed="false">
      <c r="A111" s="5" t="n">
        <v>110</v>
      </c>
      <c r="B111" s="5" t="n">
        <v>9</v>
      </c>
      <c r="C111" s="6" t="s">
        <v>294</v>
      </c>
      <c r="D111" s="7" t="s">
        <v>339</v>
      </c>
      <c r="E111" s="12" t="s">
        <v>174</v>
      </c>
      <c r="F111" s="5" t="s">
        <v>51</v>
      </c>
      <c r="G111" s="5" t="n">
        <v>14</v>
      </c>
      <c r="H111" s="5" t="n">
        <v>83</v>
      </c>
      <c r="I111" s="5" t="s">
        <v>340</v>
      </c>
      <c r="J111" s="6" t="n">
        <v>83.5</v>
      </c>
      <c r="K111" s="5" t="n">
        <f aca="false">IF(H111="","",H111-A111)</f>
        <v>-27</v>
      </c>
      <c r="L111" s="5" t="n">
        <v>4</v>
      </c>
      <c r="M111" s="10" t="s">
        <v>341</v>
      </c>
    </row>
    <row r="112" customFormat="false" ht="15" hidden="false" customHeight="false" outlineLevel="0" collapsed="false">
      <c r="A112" s="5" t="n">
        <v>111</v>
      </c>
      <c r="B112" s="5" t="n">
        <v>9</v>
      </c>
      <c r="C112" s="6" t="s">
        <v>294</v>
      </c>
      <c r="D112" s="7" t="s">
        <v>342</v>
      </c>
      <c r="E112" s="12" t="s">
        <v>174</v>
      </c>
      <c r="F112" s="5" t="s">
        <v>159</v>
      </c>
      <c r="G112" s="5" t="n">
        <v>10</v>
      </c>
      <c r="H112" s="5" t="n">
        <v>87</v>
      </c>
      <c r="I112" s="5" t="s">
        <v>343</v>
      </c>
      <c r="J112" s="6" t="n">
        <v>75.7</v>
      </c>
      <c r="K112" s="5" t="n">
        <f aca="false">IF(H112="","",H112-A112)</f>
        <v>-24</v>
      </c>
      <c r="L112" s="5" t="n">
        <v>3</v>
      </c>
      <c r="M112" s="6"/>
    </row>
    <row r="113" customFormat="false" ht="15" hidden="false" customHeight="false" outlineLevel="0" collapsed="false">
      <c r="A113" s="5" t="n">
        <v>112</v>
      </c>
      <c r="B113" s="5" t="n">
        <v>9</v>
      </c>
      <c r="C113" s="6" t="s">
        <v>294</v>
      </c>
      <c r="D113" s="7" t="s">
        <v>344</v>
      </c>
      <c r="E113" s="11" t="s">
        <v>59</v>
      </c>
      <c r="F113" s="5" t="s">
        <v>34</v>
      </c>
      <c r="G113" s="5" t="n">
        <v>8</v>
      </c>
      <c r="H113" s="5" t="n">
        <v>101</v>
      </c>
      <c r="I113" s="5" t="s">
        <v>345</v>
      </c>
      <c r="J113" s="6" t="n">
        <v>108.3</v>
      </c>
      <c r="K113" s="5" t="n">
        <f aca="false">IF(H113="","",H113-A113)</f>
        <v>-11</v>
      </c>
      <c r="L113" s="5" t="n">
        <v>2</v>
      </c>
      <c r="M113" s="10" t="s">
        <v>346</v>
      </c>
    </row>
    <row r="114" customFormat="false" ht="15" hidden="false" customHeight="false" outlineLevel="0" collapsed="false">
      <c r="A114" s="5" t="n">
        <v>113</v>
      </c>
      <c r="B114" s="5" t="n">
        <v>9</v>
      </c>
      <c r="C114" s="6" t="s">
        <v>294</v>
      </c>
      <c r="D114" s="7" t="s">
        <v>347</v>
      </c>
      <c r="E114" s="8" t="s">
        <v>15</v>
      </c>
      <c r="F114" s="5" t="s">
        <v>190</v>
      </c>
      <c r="G114" s="5" t="n">
        <v>11</v>
      </c>
      <c r="H114" s="5" t="n">
        <v>62</v>
      </c>
      <c r="I114" s="5" t="s">
        <v>348</v>
      </c>
      <c r="J114" s="6" t="n">
        <v>41.5</v>
      </c>
      <c r="K114" s="5" t="n">
        <f aca="false">IF(H114="","",H114-A114)</f>
        <v>-51</v>
      </c>
      <c r="L114" s="5" t="n">
        <v>8</v>
      </c>
      <c r="M114" s="10" t="s">
        <v>349</v>
      </c>
    </row>
    <row r="115" customFormat="false" ht="15" hidden="false" customHeight="false" outlineLevel="0" collapsed="false">
      <c r="A115" s="5" t="n">
        <v>114</v>
      </c>
      <c r="B115" s="5" t="n">
        <v>9</v>
      </c>
      <c r="C115" s="6" t="s">
        <v>294</v>
      </c>
      <c r="D115" s="7" t="s">
        <v>350</v>
      </c>
      <c r="E115" s="8" t="s">
        <v>15</v>
      </c>
      <c r="F115" s="5" t="s">
        <v>64</v>
      </c>
      <c r="G115" s="5" t="n">
        <v>8</v>
      </c>
      <c r="H115" s="5" t="n">
        <v>137</v>
      </c>
      <c r="I115" s="5" t="s">
        <v>351</v>
      </c>
      <c r="J115" s="6"/>
      <c r="K115" s="5" t="n">
        <f aca="false">IF(H115="","",H115-A115)</f>
        <v>23</v>
      </c>
      <c r="L115" s="5" t="n">
        <v>1</v>
      </c>
      <c r="M115" s="10" t="s">
        <v>352</v>
      </c>
    </row>
    <row r="116" customFormat="false" ht="15" hidden="false" customHeight="false" outlineLevel="0" collapsed="false">
      <c r="A116" s="5" t="n">
        <v>115</v>
      </c>
      <c r="B116" s="5" t="n">
        <v>9</v>
      </c>
      <c r="C116" s="6" t="s">
        <v>294</v>
      </c>
      <c r="D116" s="7" t="s">
        <v>353</v>
      </c>
      <c r="E116" s="8" t="s">
        <v>15</v>
      </c>
      <c r="F116" s="5" t="s">
        <v>102</v>
      </c>
      <c r="G116" s="5" t="n">
        <v>14</v>
      </c>
      <c r="H116" s="5" t="n">
        <v>142</v>
      </c>
      <c r="I116" s="5" t="s">
        <v>354</v>
      </c>
      <c r="J116" s="6"/>
      <c r="K116" s="5" t="n">
        <f aca="false">IF(H116="","",H116-A116)</f>
        <v>27</v>
      </c>
      <c r="L116" s="5" t="n">
        <v>0</v>
      </c>
      <c r="M116" s="10" t="s">
        <v>355</v>
      </c>
    </row>
    <row r="117" customFormat="false" ht="15" hidden="false" customHeight="false" outlineLevel="0" collapsed="false">
      <c r="A117" s="2" t="n">
        <v>116</v>
      </c>
      <c r="B117" s="2" t="n">
        <v>10</v>
      </c>
      <c r="C117" s="3" t="s">
        <v>356</v>
      </c>
      <c r="D117" s="4" t="s">
        <v>357</v>
      </c>
      <c r="E117" s="2" t="s">
        <v>59</v>
      </c>
      <c r="F117" s="2" t="s">
        <v>51</v>
      </c>
      <c r="G117" s="2" t="n">
        <v>14</v>
      </c>
      <c r="H117" s="2" t="n">
        <v>109</v>
      </c>
      <c r="I117" s="2" t="s">
        <v>358</v>
      </c>
      <c r="J117" s="3" t="n">
        <v>128.6</v>
      </c>
      <c r="K117" s="2" t="n">
        <f aca="false">IF(H117="","",H117-A117)</f>
        <v>-7</v>
      </c>
      <c r="L117" s="2" t="n">
        <v>2</v>
      </c>
      <c r="M117" s="10" t="s">
        <v>100</v>
      </c>
    </row>
    <row r="118" customFormat="false" ht="15" hidden="false" customHeight="false" outlineLevel="0" collapsed="false">
      <c r="A118" s="5" t="n">
        <v>117</v>
      </c>
      <c r="B118" s="5" t="n">
        <v>10</v>
      </c>
      <c r="C118" s="6" t="s">
        <v>356</v>
      </c>
      <c r="D118" s="7" t="s">
        <v>359</v>
      </c>
      <c r="E118" s="11" t="s">
        <v>59</v>
      </c>
      <c r="F118" s="5" t="s">
        <v>96</v>
      </c>
      <c r="G118" s="5" t="n">
        <v>8</v>
      </c>
      <c r="H118" s="5" t="n">
        <v>111</v>
      </c>
      <c r="I118" s="5" t="s">
        <v>360</v>
      </c>
      <c r="J118" s="6" t="n">
        <v>125.1</v>
      </c>
      <c r="K118" s="5" t="n">
        <f aca="false">IF(H118="","",H118-A118)</f>
        <v>-6</v>
      </c>
      <c r="L118" s="5" t="n">
        <v>2</v>
      </c>
      <c r="M118" s="6"/>
    </row>
    <row r="119" customFormat="false" ht="15" hidden="false" customHeight="false" outlineLevel="0" collapsed="false">
      <c r="A119" s="5" t="n">
        <v>118</v>
      </c>
      <c r="B119" s="5" t="n">
        <v>10</v>
      </c>
      <c r="C119" s="6" t="s">
        <v>356</v>
      </c>
      <c r="D119" s="7" t="s">
        <v>361</v>
      </c>
      <c r="E119" s="11" t="s">
        <v>59</v>
      </c>
      <c r="F119" s="5" t="s">
        <v>56</v>
      </c>
      <c r="G119" s="5" t="n">
        <v>7</v>
      </c>
      <c r="H119" s="5" t="n">
        <v>116</v>
      </c>
      <c r="I119" s="5" t="s">
        <v>362</v>
      </c>
      <c r="J119" s="6" t="n">
        <v>121</v>
      </c>
      <c r="K119" s="5" t="n">
        <f aca="false">IF(H119="","",H119-A119)</f>
        <v>-2</v>
      </c>
      <c r="L119" s="5" t="n">
        <v>2</v>
      </c>
      <c r="M119" s="6"/>
    </row>
    <row r="120" customFormat="false" ht="15" hidden="false" customHeight="false" outlineLevel="0" collapsed="false">
      <c r="A120" s="5" t="n">
        <v>119</v>
      </c>
      <c r="B120" s="5" t="n">
        <v>10</v>
      </c>
      <c r="C120" s="6" t="s">
        <v>356</v>
      </c>
      <c r="D120" s="7" t="s">
        <v>363</v>
      </c>
      <c r="E120" s="11" t="s">
        <v>59</v>
      </c>
      <c r="F120" s="5" t="s">
        <v>79</v>
      </c>
      <c r="G120" s="5" t="n">
        <v>13</v>
      </c>
      <c r="H120" s="5" t="n">
        <v>110</v>
      </c>
      <c r="I120" s="5" t="s">
        <v>364</v>
      </c>
      <c r="J120" s="6" t="n">
        <v>137</v>
      </c>
      <c r="K120" s="5" t="n">
        <f aca="false">IF(H120="","",H120-A120)</f>
        <v>-9</v>
      </c>
      <c r="L120" s="5" t="n">
        <v>2</v>
      </c>
      <c r="M120" s="10" t="s">
        <v>365</v>
      </c>
    </row>
    <row r="121" customFormat="false" ht="15" hidden="false" customHeight="false" outlineLevel="0" collapsed="false">
      <c r="A121" s="5" t="n">
        <v>120</v>
      </c>
      <c r="B121" s="5" t="n">
        <v>10</v>
      </c>
      <c r="C121" s="6" t="s">
        <v>356</v>
      </c>
      <c r="D121" s="7" t="s">
        <v>366</v>
      </c>
      <c r="E121" s="11" t="s">
        <v>59</v>
      </c>
      <c r="F121" s="5" t="s">
        <v>91</v>
      </c>
      <c r="G121" s="5" t="n">
        <v>5</v>
      </c>
      <c r="H121" s="5" t="n">
        <v>104</v>
      </c>
      <c r="I121" s="5" t="s">
        <v>367</v>
      </c>
      <c r="J121" s="6" t="n">
        <v>120.2</v>
      </c>
      <c r="K121" s="5" t="n">
        <f aca="false">IF(H121="","",H121-A121)</f>
        <v>-16</v>
      </c>
      <c r="L121" s="5" t="n">
        <v>2</v>
      </c>
      <c r="M121" s="10" t="s">
        <v>368</v>
      </c>
    </row>
    <row r="122" customFormat="false" ht="15" hidden="false" customHeight="false" outlineLevel="0" collapsed="false">
      <c r="A122" s="5" t="n">
        <v>121</v>
      </c>
      <c r="B122" s="5" t="n">
        <v>10</v>
      </c>
      <c r="C122" s="6" t="s">
        <v>356</v>
      </c>
      <c r="D122" s="7" t="s">
        <v>369</v>
      </c>
      <c r="E122" s="11" t="s">
        <v>59</v>
      </c>
      <c r="F122" s="5" t="s">
        <v>72</v>
      </c>
      <c r="G122" s="5" t="n">
        <v>10</v>
      </c>
      <c r="H122" s="5" t="n">
        <v>103</v>
      </c>
      <c r="I122" s="5" t="s">
        <v>370</v>
      </c>
      <c r="J122" s="6" t="n">
        <v>136.5</v>
      </c>
      <c r="K122" s="5" t="n">
        <f aca="false">IF(H122="","",H122-A122)</f>
        <v>-18</v>
      </c>
      <c r="L122" s="5" t="n">
        <v>2</v>
      </c>
      <c r="M122" s="10" t="s">
        <v>371</v>
      </c>
    </row>
    <row r="123" customFormat="false" ht="15" hidden="false" customHeight="false" outlineLevel="0" collapsed="false">
      <c r="A123" s="5" t="n">
        <v>122</v>
      </c>
      <c r="B123" s="5" t="n">
        <v>10</v>
      </c>
      <c r="C123" s="6" t="s">
        <v>356</v>
      </c>
      <c r="D123" s="7" t="s">
        <v>372</v>
      </c>
      <c r="E123" s="12" t="s">
        <v>174</v>
      </c>
      <c r="F123" s="5" t="s">
        <v>75</v>
      </c>
      <c r="G123" s="5" t="n">
        <v>7</v>
      </c>
      <c r="H123" s="5" t="n">
        <v>93</v>
      </c>
      <c r="I123" s="5" t="s">
        <v>373</v>
      </c>
      <c r="J123" s="6" t="n">
        <v>87.3</v>
      </c>
      <c r="K123" s="5" t="n">
        <f aca="false">IF(H123="","",H123-A123)</f>
        <v>-29</v>
      </c>
      <c r="L123" s="5" t="n">
        <v>3</v>
      </c>
      <c r="M123" s="6"/>
    </row>
    <row r="124" customFormat="false" ht="15" hidden="false" customHeight="false" outlineLevel="0" collapsed="false">
      <c r="A124" s="5" t="n">
        <v>123</v>
      </c>
      <c r="B124" s="5" t="n">
        <v>10</v>
      </c>
      <c r="C124" s="6" t="s">
        <v>356</v>
      </c>
      <c r="D124" s="7" t="s">
        <v>374</v>
      </c>
      <c r="E124" s="12" t="s">
        <v>174</v>
      </c>
      <c r="F124" s="5" t="s">
        <v>47</v>
      </c>
      <c r="G124" s="5" t="n">
        <v>6</v>
      </c>
      <c r="H124" s="5" t="n">
        <v>133</v>
      </c>
      <c r="I124" s="5" t="s">
        <v>375</v>
      </c>
      <c r="J124" s="6" t="n">
        <v>117.7</v>
      </c>
      <c r="K124" s="5" t="n">
        <f aca="false">IF(H124="","",H124-A124)</f>
        <v>10</v>
      </c>
      <c r="L124" s="5" t="n">
        <v>1</v>
      </c>
      <c r="M124" s="10" t="s">
        <v>376</v>
      </c>
    </row>
    <row r="125" customFormat="false" ht="15" hidden="false" customHeight="false" outlineLevel="0" collapsed="false">
      <c r="A125" s="5" t="n">
        <v>124</v>
      </c>
      <c r="B125" s="5" t="n">
        <v>10</v>
      </c>
      <c r="C125" s="6" t="s">
        <v>356</v>
      </c>
      <c r="D125" s="7" t="s">
        <v>377</v>
      </c>
      <c r="E125" s="12" t="s">
        <v>174</v>
      </c>
      <c r="F125" s="5" t="s">
        <v>16</v>
      </c>
      <c r="G125" s="5" t="n">
        <v>6</v>
      </c>
      <c r="H125" s="5" t="n">
        <v>135</v>
      </c>
      <c r="I125" s="5" t="s">
        <v>378</v>
      </c>
      <c r="J125" s="6" t="n">
        <v>108.2</v>
      </c>
      <c r="K125" s="5" t="n">
        <f aca="false">IF(H125="","",H125-A125)</f>
        <v>11</v>
      </c>
      <c r="L125" s="5" t="n">
        <v>1</v>
      </c>
      <c r="M125" s="10" t="s">
        <v>379</v>
      </c>
    </row>
    <row r="126" customFormat="false" ht="15" hidden="false" customHeight="false" outlineLevel="0" collapsed="false">
      <c r="A126" s="5" t="n">
        <v>125</v>
      </c>
      <c r="B126" s="5" t="n">
        <v>10</v>
      </c>
      <c r="C126" s="6" t="s">
        <v>356</v>
      </c>
      <c r="D126" s="7" t="s">
        <v>380</v>
      </c>
      <c r="E126" s="12" t="s">
        <v>174</v>
      </c>
      <c r="F126" s="5" t="s">
        <v>156</v>
      </c>
      <c r="G126" s="5" t="n">
        <v>10</v>
      </c>
      <c r="H126" s="5" t="n">
        <v>149</v>
      </c>
      <c r="I126" s="5" t="s">
        <v>381</v>
      </c>
      <c r="J126" s="6" t="n">
        <v>126.6</v>
      </c>
      <c r="K126" s="5" t="n">
        <f aca="false">IF(H126="","",H126-A126)</f>
        <v>24</v>
      </c>
      <c r="L126" s="5" t="n">
        <v>0</v>
      </c>
      <c r="M126" s="10" t="s">
        <v>382</v>
      </c>
    </row>
    <row r="127" customFormat="false" ht="15" hidden="false" customHeight="false" outlineLevel="0" collapsed="false">
      <c r="A127" s="5" t="n">
        <v>126</v>
      </c>
      <c r="B127" s="5" t="n">
        <v>10</v>
      </c>
      <c r="C127" s="6" t="s">
        <v>356</v>
      </c>
      <c r="D127" s="7" t="s">
        <v>383</v>
      </c>
      <c r="E127" s="12" t="s">
        <v>174</v>
      </c>
      <c r="F127" s="5" t="s">
        <v>43</v>
      </c>
      <c r="G127" s="5" t="n">
        <v>6</v>
      </c>
      <c r="H127" s="5" t="n">
        <v>150</v>
      </c>
      <c r="I127" s="5" t="s">
        <v>384</v>
      </c>
      <c r="J127" s="6" t="n">
        <v>133.4</v>
      </c>
      <c r="K127" s="5" t="n">
        <f aca="false">IF(H127="","",H127-A127)</f>
        <v>24</v>
      </c>
      <c r="L127" s="5" t="n">
        <v>0</v>
      </c>
      <c r="M127" s="10" t="s">
        <v>385</v>
      </c>
    </row>
    <row r="128" customFormat="false" ht="15" hidden="false" customHeight="false" outlineLevel="0" collapsed="false">
      <c r="A128" s="5" t="n">
        <v>127</v>
      </c>
      <c r="B128" s="5" t="n">
        <v>10</v>
      </c>
      <c r="C128" s="6" t="s">
        <v>356</v>
      </c>
      <c r="D128" s="7" t="s">
        <v>386</v>
      </c>
      <c r="E128" s="12" t="s">
        <v>174</v>
      </c>
      <c r="F128" s="5" t="s">
        <v>27</v>
      </c>
      <c r="G128" s="5" t="n">
        <v>11</v>
      </c>
      <c r="H128" s="5" t="n">
        <v>86</v>
      </c>
      <c r="I128" s="5" t="s">
        <v>387</v>
      </c>
      <c r="J128" s="6" t="n">
        <v>103.5</v>
      </c>
      <c r="K128" s="5" t="n">
        <f aca="false">IF(H128="","",H128-A128)</f>
        <v>-41</v>
      </c>
      <c r="L128" s="5" t="n">
        <v>4</v>
      </c>
      <c r="M128" s="10" t="s">
        <v>388</v>
      </c>
    </row>
    <row r="129" customFormat="false" ht="15" hidden="false" customHeight="false" outlineLevel="0" collapsed="false">
      <c r="A129" s="5" t="n">
        <v>128</v>
      </c>
      <c r="B129" s="5" t="n">
        <v>10</v>
      </c>
      <c r="C129" s="6" t="s">
        <v>356</v>
      </c>
      <c r="D129" s="7" t="s">
        <v>389</v>
      </c>
      <c r="E129" s="12" t="s">
        <v>174</v>
      </c>
      <c r="F129" s="5" t="s">
        <v>34</v>
      </c>
      <c r="G129" s="5" t="n">
        <v>8</v>
      </c>
      <c r="H129" s="5" t="n">
        <v>85</v>
      </c>
      <c r="I129" s="5" t="s">
        <v>390</v>
      </c>
      <c r="J129" s="6" t="n">
        <v>104.5</v>
      </c>
      <c r="K129" s="5" t="n">
        <f aca="false">IF(H129="","",H129-A129)</f>
        <v>-43</v>
      </c>
      <c r="L129" s="5" t="n">
        <v>4</v>
      </c>
      <c r="M129" s="10" t="s">
        <v>306</v>
      </c>
    </row>
    <row r="130" customFormat="false" ht="15" hidden="false" customHeight="false" outlineLevel="0" collapsed="false">
      <c r="A130" s="5" t="n">
        <v>129</v>
      </c>
      <c r="B130" s="5" t="n">
        <v>10</v>
      </c>
      <c r="C130" s="6" t="s">
        <v>356</v>
      </c>
      <c r="D130" s="7" t="s">
        <v>391</v>
      </c>
      <c r="E130" s="12" t="s">
        <v>174</v>
      </c>
      <c r="F130" s="5" t="s">
        <v>91</v>
      </c>
      <c r="G130" s="5" t="n">
        <v>5</v>
      </c>
      <c r="H130" s="5" t="n">
        <v>94</v>
      </c>
      <c r="I130" s="5" t="s">
        <v>392</v>
      </c>
      <c r="J130" s="6" t="n">
        <v>107.9</v>
      </c>
      <c r="K130" s="5" t="n">
        <f aca="false">IF(H130="","",H130-A130)</f>
        <v>-35</v>
      </c>
      <c r="L130" s="5" t="n">
        <v>3</v>
      </c>
      <c r="M130" s="10" t="s">
        <v>393</v>
      </c>
    </row>
    <row r="131" customFormat="false" ht="15" hidden="false" customHeight="false" outlineLevel="0" collapsed="false">
      <c r="A131" s="5" t="n">
        <v>130</v>
      </c>
      <c r="B131" s="5" t="n">
        <v>10</v>
      </c>
      <c r="C131" s="6" t="s">
        <v>356</v>
      </c>
      <c r="D131" s="7" t="s">
        <v>394</v>
      </c>
      <c r="E131" s="12" t="s">
        <v>174</v>
      </c>
      <c r="F131" s="5" t="s">
        <v>96</v>
      </c>
      <c r="G131" s="5" t="n">
        <v>8</v>
      </c>
      <c r="H131" s="5" t="n">
        <v>75</v>
      </c>
      <c r="I131" s="5" t="s">
        <v>395</v>
      </c>
      <c r="J131" s="6" t="n">
        <v>103.2</v>
      </c>
      <c r="K131" s="5" t="n">
        <f aca="false">IF(H131="","",H131-A131)</f>
        <v>-55</v>
      </c>
      <c r="L131" s="5" t="n">
        <v>5</v>
      </c>
      <c r="M131" s="10" t="s">
        <v>396</v>
      </c>
    </row>
    <row r="132" customFormat="false" ht="15" hidden="false" customHeight="false" outlineLevel="0" collapsed="false">
      <c r="A132" s="5" t="n">
        <v>131</v>
      </c>
      <c r="B132" s="5" t="n">
        <v>10</v>
      </c>
      <c r="C132" s="6" t="s">
        <v>356</v>
      </c>
      <c r="D132" s="7" t="s">
        <v>397</v>
      </c>
      <c r="E132" s="12" t="s">
        <v>174</v>
      </c>
      <c r="F132" s="5" t="s">
        <v>153</v>
      </c>
      <c r="G132" s="5" t="n">
        <v>10</v>
      </c>
      <c r="H132" s="5" t="n">
        <v>84</v>
      </c>
      <c r="I132" s="5" t="s">
        <v>398</v>
      </c>
      <c r="J132" s="6" t="n">
        <v>115.8</v>
      </c>
      <c r="K132" s="5" t="n">
        <f aca="false">IF(H132="","",H132-A132)</f>
        <v>-47</v>
      </c>
      <c r="L132" s="5" t="n">
        <v>4</v>
      </c>
      <c r="M132" s="10" t="s">
        <v>399</v>
      </c>
    </row>
    <row r="133" customFormat="false" ht="15" hidden="false" customHeight="false" outlineLevel="0" collapsed="false">
      <c r="A133" s="5" t="n">
        <v>132</v>
      </c>
      <c r="B133" s="5" t="n">
        <v>10</v>
      </c>
      <c r="C133" s="6" t="s">
        <v>356</v>
      </c>
      <c r="D133" s="7" t="s">
        <v>400</v>
      </c>
      <c r="E133" s="8" t="s">
        <v>15</v>
      </c>
      <c r="F133" s="5" t="s">
        <v>136</v>
      </c>
      <c r="G133" s="5" t="n">
        <v>7</v>
      </c>
      <c r="H133" s="5" t="n">
        <v>120</v>
      </c>
      <c r="I133" s="5" t="s">
        <v>401</v>
      </c>
      <c r="J133" s="6" t="n">
        <v>108.8</v>
      </c>
      <c r="K133" s="5" t="n">
        <f aca="false">IF(H133="","",H133-A133)</f>
        <v>-12</v>
      </c>
      <c r="L133" s="5" t="n">
        <v>2</v>
      </c>
      <c r="M133" s="6"/>
    </row>
    <row r="134" customFormat="false" ht="15" hidden="false" customHeight="false" outlineLevel="0" collapsed="false">
      <c r="A134" s="5" t="n">
        <v>133</v>
      </c>
      <c r="B134" s="5" t="n">
        <v>10</v>
      </c>
      <c r="C134" s="6" t="s">
        <v>356</v>
      </c>
      <c r="D134" s="7" t="s">
        <v>402</v>
      </c>
      <c r="E134" s="8" t="s">
        <v>15</v>
      </c>
      <c r="F134" s="5" t="s">
        <v>60</v>
      </c>
      <c r="G134" s="5" t="n">
        <v>13</v>
      </c>
      <c r="H134" s="5" t="n">
        <v>157</v>
      </c>
      <c r="I134" s="5" t="s">
        <v>403</v>
      </c>
      <c r="J134" s="6"/>
      <c r="K134" s="5" t="n">
        <f aca="false">IF(H134="","",H134-A134)</f>
        <v>24</v>
      </c>
      <c r="L134" s="5" t="n">
        <v>0</v>
      </c>
      <c r="M134" s="10" t="s">
        <v>404</v>
      </c>
    </row>
    <row r="135" customFormat="false" ht="15" hidden="false" customHeight="false" outlineLevel="0" collapsed="false">
      <c r="A135" s="5" t="n">
        <v>134</v>
      </c>
      <c r="B135" s="5" t="n">
        <v>10</v>
      </c>
      <c r="C135" s="6" t="s">
        <v>356</v>
      </c>
      <c r="D135" s="7" t="s">
        <v>405</v>
      </c>
      <c r="E135" s="8" t="s">
        <v>15</v>
      </c>
      <c r="F135" s="5" t="s">
        <v>30</v>
      </c>
      <c r="G135" s="5" t="n">
        <v>11</v>
      </c>
      <c r="H135" s="5" t="n">
        <v>138</v>
      </c>
      <c r="I135" s="5" t="s">
        <v>406</v>
      </c>
      <c r="J135" s="6"/>
      <c r="K135" s="5" t="n">
        <f aca="false">IF(H135="","",H135-A135)</f>
        <v>4</v>
      </c>
      <c r="L135" s="5" t="n">
        <v>1</v>
      </c>
      <c r="M135" s="10" t="s">
        <v>407</v>
      </c>
    </row>
    <row r="136" customFormat="false" ht="15" hidden="false" customHeight="false" outlineLevel="0" collapsed="false">
      <c r="A136" s="5" t="n">
        <v>135</v>
      </c>
      <c r="B136" s="5" t="n">
        <v>10</v>
      </c>
      <c r="C136" s="6" t="s">
        <v>356</v>
      </c>
      <c r="D136" s="7" t="s">
        <v>408</v>
      </c>
      <c r="E136" s="8" t="s">
        <v>15</v>
      </c>
      <c r="F136" s="5" t="s">
        <v>199</v>
      </c>
      <c r="G136" s="5" t="n">
        <v>9</v>
      </c>
      <c r="H136" s="5" t="n">
        <v>139</v>
      </c>
      <c r="I136" s="5" t="s">
        <v>409</v>
      </c>
      <c r="J136" s="6"/>
      <c r="K136" s="5" t="n">
        <f aca="false">IF(H136="","",H136-A136)</f>
        <v>4</v>
      </c>
      <c r="L136" s="5" t="n">
        <v>1</v>
      </c>
      <c r="M136" s="10" t="s">
        <v>410</v>
      </c>
    </row>
    <row r="137" customFormat="false" ht="15" hidden="false" customHeight="false" outlineLevel="0" collapsed="false">
      <c r="A137" s="5" t="n">
        <v>136</v>
      </c>
      <c r="B137" s="5" t="n">
        <v>10</v>
      </c>
      <c r="C137" s="6" t="s">
        <v>356</v>
      </c>
      <c r="D137" s="7" t="s">
        <v>411</v>
      </c>
      <c r="E137" s="8" t="s">
        <v>15</v>
      </c>
      <c r="F137" s="5" t="s">
        <v>106</v>
      </c>
      <c r="G137" s="5" t="n">
        <v>13</v>
      </c>
      <c r="H137" s="5" t="n">
        <v>158</v>
      </c>
      <c r="I137" s="5" t="s">
        <v>412</v>
      </c>
      <c r="J137" s="6"/>
      <c r="K137" s="5" t="n">
        <f aca="false">IF(H137="","",H137-A137)</f>
        <v>22</v>
      </c>
      <c r="L137" s="5" t="n">
        <v>0</v>
      </c>
      <c r="M137" s="10" t="s">
        <v>413</v>
      </c>
    </row>
    <row r="138" customFormat="false" ht="15" hidden="false" customHeight="false" outlineLevel="0" collapsed="false">
      <c r="A138" s="5" t="n">
        <v>137</v>
      </c>
      <c r="B138" s="5" t="n">
        <v>10</v>
      </c>
      <c r="C138" s="6" t="s">
        <v>356</v>
      </c>
      <c r="D138" s="7" t="s">
        <v>414</v>
      </c>
      <c r="E138" s="8" t="s">
        <v>15</v>
      </c>
      <c r="F138" s="5" t="s">
        <v>19</v>
      </c>
      <c r="G138" s="5" t="n">
        <v>11</v>
      </c>
      <c r="H138" s="5" t="n">
        <v>141</v>
      </c>
      <c r="I138" s="5" t="s">
        <v>415</v>
      </c>
      <c r="J138" s="6"/>
      <c r="K138" s="5" t="n">
        <f aca="false">IF(H138="","",H138-A138)</f>
        <v>4</v>
      </c>
      <c r="L138" s="5" t="n">
        <v>0</v>
      </c>
      <c r="M138" s="6"/>
    </row>
    <row r="139" customFormat="false" ht="15" hidden="false" customHeight="false" outlineLevel="0" collapsed="false">
      <c r="A139" s="5" t="n">
        <v>138</v>
      </c>
      <c r="B139" s="5" t="n">
        <v>10</v>
      </c>
      <c r="C139" s="6" t="s">
        <v>356</v>
      </c>
      <c r="D139" s="7" t="s">
        <v>416</v>
      </c>
      <c r="E139" s="8" t="s">
        <v>15</v>
      </c>
      <c r="F139" s="5" t="s">
        <v>16</v>
      </c>
      <c r="G139" s="5" t="n">
        <v>6</v>
      </c>
      <c r="H139" s="5" t="n">
        <v>155</v>
      </c>
      <c r="I139" s="5" t="s">
        <v>417</v>
      </c>
      <c r="J139" s="6"/>
      <c r="K139" s="5" t="n">
        <f aca="false">IF(H139="","",H139-A139)</f>
        <v>17</v>
      </c>
      <c r="L139" s="5" t="n">
        <v>0</v>
      </c>
      <c r="M139" s="6"/>
    </row>
    <row r="140" customFormat="false" ht="15" hidden="false" customHeight="false" outlineLevel="0" collapsed="false">
      <c r="A140" s="5" t="n">
        <v>139</v>
      </c>
      <c r="B140" s="5" t="n">
        <v>10</v>
      </c>
      <c r="C140" s="6" t="s">
        <v>356</v>
      </c>
      <c r="D140" s="7" t="s">
        <v>418</v>
      </c>
      <c r="E140" s="9" t="s">
        <v>22</v>
      </c>
      <c r="F140" s="5" t="s">
        <v>199</v>
      </c>
      <c r="G140" s="5" t="n">
        <v>9</v>
      </c>
      <c r="H140" s="5" t="n">
        <v>88</v>
      </c>
      <c r="I140" s="5" t="s">
        <v>419</v>
      </c>
      <c r="J140" s="6" t="n">
        <v>99</v>
      </c>
      <c r="K140" s="5" t="n">
        <f aca="false">IF(H140="","",H140-A140)</f>
        <v>-51</v>
      </c>
      <c r="L140" s="5" t="n">
        <v>3</v>
      </c>
      <c r="M140" s="6"/>
    </row>
    <row r="141" customFormat="false" ht="15" hidden="false" customHeight="false" outlineLevel="0" collapsed="false">
      <c r="A141" s="5" t="n">
        <v>140</v>
      </c>
      <c r="B141" s="5" t="n">
        <v>10</v>
      </c>
      <c r="C141" s="6" t="s">
        <v>356</v>
      </c>
      <c r="D141" s="7" t="s">
        <v>420</v>
      </c>
      <c r="E141" s="9" t="s">
        <v>22</v>
      </c>
      <c r="F141" s="5" t="s">
        <v>34</v>
      </c>
      <c r="G141" s="5" t="n">
        <v>8</v>
      </c>
      <c r="H141" s="5" t="n">
        <v>90</v>
      </c>
      <c r="I141" s="5" t="s">
        <v>421</v>
      </c>
      <c r="J141" s="6" t="n">
        <v>137.7</v>
      </c>
      <c r="K141" s="5" t="n">
        <f aca="false">IF(H141="","",H141-A141)</f>
        <v>-50</v>
      </c>
      <c r="L141" s="5" t="n">
        <v>3</v>
      </c>
      <c r="M141" s="10" t="s">
        <v>422</v>
      </c>
    </row>
    <row r="142" customFormat="false" ht="15" hidden="false" customHeight="false" outlineLevel="0" collapsed="false">
      <c r="A142" s="5" t="n">
        <v>141</v>
      </c>
      <c r="B142" s="5" t="n">
        <v>10</v>
      </c>
      <c r="C142" s="6" t="s">
        <v>356</v>
      </c>
      <c r="D142" s="7" t="s">
        <v>423</v>
      </c>
      <c r="E142" s="9" t="s">
        <v>22</v>
      </c>
      <c r="F142" s="5" t="s">
        <v>144</v>
      </c>
      <c r="G142" s="5" t="n">
        <v>11</v>
      </c>
      <c r="H142" s="5" t="n">
        <v>144</v>
      </c>
      <c r="I142" s="5" t="s">
        <v>424</v>
      </c>
      <c r="J142" s="6"/>
      <c r="K142" s="5" t="n">
        <f aca="false">IF(H142="","",H142-A142)</f>
        <v>3</v>
      </c>
      <c r="L142" s="5" t="n">
        <v>0</v>
      </c>
      <c r="M142" s="6"/>
    </row>
    <row r="143" customFormat="false" ht="15" hidden="false" customHeight="false" outlineLevel="0" collapsed="false">
      <c r="A143" s="5" t="n">
        <v>142</v>
      </c>
      <c r="B143" s="5" t="n">
        <v>10</v>
      </c>
      <c r="C143" s="6" t="s">
        <v>356</v>
      </c>
      <c r="D143" s="7" t="s">
        <v>425</v>
      </c>
      <c r="E143" s="9" t="s">
        <v>22</v>
      </c>
      <c r="F143" s="5" t="s">
        <v>199</v>
      </c>
      <c r="G143" s="5" t="n">
        <v>9</v>
      </c>
      <c r="H143" s="5" t="n">
        <v>145</v>
      </c>
      <c r="I143" s="5" t="s">
        <v>426</v>
      </c>
      <c r="J143" s="6"/>
      <c r="K143" s="5" t="n">
        <f aca="false">IF(H143="","",H143-A143)</f>
        <v>3</v>
      </c>
      <c r="L143" s="5" t="n">
        <v>0</v>
      </c>
      <c r="M143" s="6"/>
    </row>
    <row r="144" customFormat="false" ht="15" hidden="false" customHeight="false" outlineLevel="0" collapsed="false">
      <c r="A144" s="5" t="n">
        <v>143</v>
      </c>
      <c r="B144" s="5" t="n">
        <v>10</v>
      </c>
      <c r="C144" s="6" t="s">
        <v>356</v>
      </c>
      <c r="D144" s="7" t="s">
        <v>427</v>
      </c>
      <c r="E144" s="9" t="s">
        <v>22</v>
      </c>
      <c r="F144" s="5" t="s">
        <v>144</v>
      </c>
      <c r="G144" s="5" t="n">
        <v>11</v>
      </c>
      <c r="H144" s="5" t="n">
        <v>143</v>
      </c>
      <c r="I144" s="5" t="s">
        <v>428</v>
      </c>
      <c r="J144" s="6"/>
      <c r="K144" s="5" t="n">
        <f aca="false">IF(H144="","",H144-A144)</f>
        <v>0</v>
      </c>
      <c r="L144" s="5" t="n">
        <v>0</v>
      </c>
      <c r="M144" s="6"/>
    </row>
    <row r="145" customFormat="false" ht="15" hidden="false" customHeight="false" outlineLevel="0" collapsed="false">
      <c r="A145" s="5" t="n">
        <v>144</v>
      </c>
      <c r="B145" s="5" t="n">
        <v>10</v>
      </c>
      <c r="C145" s="6" t="s">
        <v>356</v>
      </c>
      <c r="D145" s="7" t="s">
        <v>429</v>
      </c>
      <c r="E145" s="9" t="s">
        <v>22</v>
      </c>
      <c r="F145" s="5" t="s">
        <v>156</v>
      </c>
      <c r="G145" s="5" t="n">
        <v>10</v>
      </c>
      <c r="H145" s="5" t="n">
        <v>132</v>
      </c>
      <c r="I145" s="5" t="s">
        <v>430</v>
      </c>
      <c r="J145" s="6"/>
      <c r="K145" s="5" t="n">
        <f aca="false">IF(H145="","",H145-A145)</f>
        <v>-12</v>
      </c>
      <c r="L145" s="5" t="n">
        <v>1</v>
      </c>
      <c r="M145" s="6"/>
    </row>
    <row r="146" customFormat="false" ht="15" hidden="false" customHeight="false" outlineLevel="0" collapsed="false">
      <c r="A146" s="5" t="n">
        <v>145</v>
      </c>
      <c r="B146" s="5" t="n">
        <v>10</v>
      </c>
      <c r="C146" s="6" t="s">
        <v>356</v>
      </c>
      <c r="D146" s="7" t="s">
        <v>431</v>
      </c>
      <c r="E146" s="9" t="s">
        <v>22</v>
      </c>
      <c r="F146" s="5" t="s">
        <v>85</v>
      </c>
      <c r="G146" s="5" t="n">
        <v>8</v>
      </c>
      <c r="H146" s="5" t="n">
        <v>151</v>
      </c>
      <c r="I146" s="5" t="s">
        <v>432</v>
      </c>
      <c r="J146" s="6"/>
      <c r="K146" s="5" t="n">
        <f aca="false">IF(H146="","",H146-A146)</f>
        <v>6</v>
      </c>
      <c r="L146" s="5" t="n">
        <v>0</v>
      </c>
      <c r="M146" s="10" t="s">
        <v>433</v>
      </c>
    </row>
    <row r="147" customFormat="false" ht="15" hidden="false" customHeight="false" outlineLevel="0" collapsed="false">
      <c r="A147" s="2" t="n">
        <v>146</v>
      </c>
      <c r="B147" s="2" t="n">
        <v>11</v>
      </c>
      <c r="C147" s="3" t="s">
        <v>434</v>
      </c>
      <c r="D147" s="4" t="s">
        <v>435</v>
      </c>
      <c r="E147" s="2" t="s">
        <v>22</v>
      </c>
      <c r="F147" s="2" t="s">
        <v>106</v>
      </c>
      <c r="G147" s="2" t="n">
        <v>13</v>
      </c>
      <c r="H147" s="2" t="n">
        <v>146</v>
      </c>
      <c r="I147" s="2" t="s">
        <v>436</v>
      </c>
      <c r="J147" s="3"/>
      <c r="K147" s="2" t="n">
        <f aca="false">IF(H147="","",H147-A147)</f>
        <v>0</v>
      </c>
      <c r="L147" s="2" t="n">
        <v>0</v>
      </c>
      <c r="M147" s="3"/>
    </row>
    <row r="148" customFormat="false" ht="15" hidden="false" customHeight="false" outlineLevel="0" collapsed="false">
      <c r="A148" s="5" t="n">
        <v>147</v>
      </c>
      <c r="B148" s="5" t="n">
        <v>11</v>
      </c>
      <c r="C148" s="6" t="s">
        <v>434</v>
      </c>
      <c r="D148" s="7" t="s">
        <v>437</v>
      </c>
      <c r="E148" s="9" t="s">
        <v>22</v>
      </c>
      <c r="F148" s="5" t="s">
        <v>60</v>
      </c>
      <c r="G148" s="5" t="n">
        <v>13</v>
      </c>
      <c r="H148" s="5" t="n">
        <v>152</v>
      </c>
      <c r="I148" s="5" t="s">
        <v>438</v>
      </c>
      <c r="J148" s="6"/>
      <c r="K148" s="5" t="n">
        <f aca="false">IF(H148="","",H148-A148)</f>
        <v>5</v>
      </c>
      <c r="L148" s="5" t="n">
        <v>0</v>
      </c>
      <c r="M148" s="6"/>
    </row>
    <row r="149" customFormat="false" ht="15" hidden="false" customHeight="false" outlineLevel="0" collapsed="false">
      <c r="A149" s="5" t="n">
        <v>148</v>
      </c>
      <c r="B149" s="5" t="n">
        <v>11</v>
      </c>
      <c r="C149" s="6" t="s">
        <v>434</v>
      </c>
      <c r="D149" s="7" t="s">
        <v>439</v>
      </c>
      <c r="E149" s="9" t="s">
        <v>22</v>
      </c>
      <c r="F149" s="5" t="s">
        <v>60</v>
      </c>
      <c r="G149" s="5" t="n">
        <v>13</v>
      </c>
      <c r="H149" s="5" t="n">
        <v>153</v>
      </c>
      <c r="I149" s="5" t="s">
        <v>440</v>
      </c>
      <c r="J149" s="6"/>
      <c r="K149" s="5" t="n">
        <f aca="false">IF(H149="","",H149-A149)</f>
        <v>5</v>
      </c>
      <c r="L149" s="5" t="n">
        <v>0</v>
      </c>
      <c r="M149" s="10" t="s">
        <v>441</v>
      </c>
    </row>
    <row r="150" customFormat="false" ht="15" hidden="false" customHeight="false" outlineLevel="0" collapsed="false">
      <c r="A150" s="5" t="n">
        <v>149</v>
      </c>
      <c r="B150" s="5" t="n">
        <v>11</v>
      </c>
      <c r="C150" s="6" t="s">
        <v>434</v>
      </c>
      <c r="D150" s="7" t="s">
        <v>442</v>
      </c>
      <c r="E150" s="9" t="s">
        <v>22</v>
      </c>
      <c r="F150" s="5" t="s">
        <v>43</v>
      </c>
      <c r="G150" s="5" t="n">
        <v>6</v>
      </c>
      <c r="H150" s="5" t="n">
        <v>148</v>
      </c>
      <c r="I150" s="5" t="s">
        <v>443</v>
      </c>
      <c r="J150" s="6"/>
      <c r="K150" s="5" t="n">
        <f aca="false">IF(H150="","",H150-A150)</f>
        <v>-1</v>
      </c>
      <c r="L150" s="5" t="n">
        <v>0</v>
      </c>
      <c r="M150" s="6"/>
    </row>
    <row r="151" customFormat="false" ht="15" hidden="false" customHeight="false" outlineLevel="0" collapsed="false">
      <c r="A151" s="5" t="n">
        <v>150</v>
      </c>
      <c r="B151" s="5" t="n">
        <v>11</v>
      </c>
      <c r="C151" s="6" t="s">
        <v>434</v>
      </c>
      <c r="D151" s="7" t="s">
        <v>444</v>
      </c>
      <c r="E151" s="8" t="s">
        <v>15</v>
      </c>
      <c r="F151" s="5" t="s">
        <v>102</v>
      </c>
      <c r="G151" s="5" t="n">
        <v>14</v>
      </c>
      <c r="H151" s="5"/>
      <c r="I151" s="5"/>
      <c r="J151" s="6"/>
      <c r="K151" s="5" t="str">
        <f aca="false">IF(H151="","",H151-A151)</f>
        <v/>
      </c>
      <c r="L151" s="5"/>
      <c r="M151" s="10" t="s">
        <v>445</v>
      </c>
    </row>
    <row r="152" customFormat="false" ht="15" hidden="false" customHeight="false" outlineLevel="0" collapsed="false">
      <c r="A152" s="5" t="n">
        <v>151</v>
      </c>
      <c r="B152" s="5" t="n">
        <v>11</v>
      </c>
      <c r="C152" s="6" t="s">
        <v>434</v>
      </c>
      <c r="D152" s="7" t="s">
        <v>446</v>
      </c>
      <c r="E152" s="8" t="s">
        <v>15</v>
      </c>
      <c r="F152" s="5" t="s">
        <v>91</v>
      </c>
      <c r="G152" s="5" t="n">
        <v>5</v>
      </c>
      <c r="H152" s="5" t="n">
        <v>240</v>
      </c>
      <c r="I152" s="5" t="s">
        <v>447</v>
      </c>
      <c r="J152" s="6"/>
      <c r="K152" s="5" t="n">
        <f aca="false">IF(H152="","",H152-A152)</f>
        <v>89</v>
      </c>
      <c r="L152" s="5" t="n">
        <v>0</v>
      </c>
      <c r="M152" s="10" t="s">
        <v>448</v>
      </c>
    </row>
    <row r="153" customFormat="false" ht="15" hidden="false" customHeight="false" outlineLevel="0" collapsed="false">
      <c r="A153" s="5" t="n">
        <v>152</v>
      </c>
      <c r="B153" s="5" t="n">
        <v>11</v>
      </c>
      <c r="C153" s="6" t="s">
        <v>434</v>
      </c>
      <c r="D153" s="7" t="s">
        <v>449</v>
      </c>
      <c r="E153" s="9" t="s">
        <v>22</v>
      </c>
      <c r="F153" s="5" t="s">
        <v>40</v>
      </c>
      <c r="G153" s="5" t="n">
        <v>13</v>
      </c>
      <c r="H153" s="5" t="n">
        <v>161</v>
      </c>
      <c r="I153" s="5" t="s">
        <v>450</v>
      </c>
      <c r="J153" s="6"/>
      <c r="K153" s="5" t="n">
        <f aca="false">IF(H153="","",H153-A153)</f>
        <v>9</v>
      </c>
      <c r="L153" s="5" t="n">
        <v>0</v>
      </c>
      <c r="M153" s="10" t="s">
        <v>451</v>
      </c>
    </row>
    <row r="154" customFormat="false" ht="15" hidden="false" customHeight="false" outlineLevel="0" collapsed="false">
      <c r="A154" s="5" t="n">
        <v>153</v>
      </c>
      <c r="B154" s="5" t="n">
        <v>11</v>
      </c>
      <c r="C154" s="6" t="s">
        <v>434</v>
      </c>
      <c r="D154" s="7" t="s">
        <v>452</v>
      </c>
      <c r="E154" s="8" t="s">
        <v>15</v>
      </c>
      <c r="F154" s="5" t="s">
        <v>186</v>
      </c>
      <c r="G154" s="5" t="n">
        <v>7</v>
      </c>
      <c r="H154" s="5" t="n">
        <v>140</v>
      </c>
      <c r="I154" s="5" t="s">
        <v>453</v>
      </c>
      <c r="J154" s="6"/>
      <c r="K154" s="5" t="n">
        <f aca="false">IF(H154="","",H154-A154)</f>
        <v>-13</v>
      </c>
      <c r="L154" s="5" t="n">
        <v>1</v>
      </c>
      <c r="M154" s="6"/>
    </row>
    <row r="155" customFormat="false" ht="15" hidden="false" customHeight="false" outlineLevel="0" collapsed="false">
      <c r="A155" s="5" t="n">
        <v>154</v>
      </c>
      <c r="B155" s="5" t="n">
        <v>11</v>
      </c>
      <c r="C155" s="6" t="s">
        <v>434</v>
      </c>
      <c r="D155" s="7" t="s">
        <v>454</v>
      </c>
      <c r="E155" s="8" t="s">
        <v>15</v>
      </c>
      <c r="F155" s="5" t="s">
        <v>153</v>
      </c>
      <c r="G155" s="5" t="n">
        <v>10</v>
      </c>
      <c r="H155" s="5" t="n">
        <v>156</v>
      </c>
      <c r="I155" s="5" t="s">
        <v>455</v>
      </c>
      <c r="J155" s="6"/>
      <c r="K155" s="5" t="n">
        <f aca="false">IF(H155="","",H155-A155)</f>
        <v>2</v>
      </c>
      <c r="L155" s="5" t="n">
        <v>0</v>
      </c>
      <c r="M155" s="6"/>
    </row>
    <row r="156" customFormat="false" ht="15" hidden="false" customHeight="false" outlineLevel="0" collapsed="false">
      <c r="A156" s="5" t="n">
        <v>155</v>
      </c>
      <c r="B156" s="5" t="n">
        <v>11</v>
      </c>
      <c r="C156" s="6" t="s">
        <v>434</v>
      </c>
      <c r="D156" s="7" t="s">
        <v>456</v>
      </c>
      <c r="E156" s="8" t="s">
        <v>15</v>
      </c>
      <c r="F156" s="5" t="s">
        <v>75</v>
      </c>
      <c r="G156" s="5" t="n">
        <v>7</v>
      </c>
      <c r="H156" s="5" t="n">
        <v>154</v>
      </c>
      <c r="I156" s="5" t="s">
        <v>457</v>
      </c>
      <c r="J156" s="6"/>
      <c r="K156" s="5" t="n">
        <f aca="false">IF(H156="","",H156-A156)</f>
        <v>-1</v>
      </c>
      <c r="L156" s="5" t="n">
        <v>0</v>
      </c>
      <c r="M156" s="6"/>
    </row>
    <row r="157" customFormat="false" ht="15" hidden="false" customHeight="false" outlineLevel="0" collapsed="false">
      <c r="A157" s="5" t="n">
        <v>156</v>
      </c>
      <c r="B157" s="5" t="n">
        <v>11</v>
      </c>
      <c r="C157" s="6" t="s">
        <v>434</v>
      </c>
      <c r="D157" s="7" t="s">
        <v>458</v>
      </c>
      <c r="E157" s="8" t="s">
        <v>15</v>
      </c>
      <c r="F157" s="5" t="s">
        <v>190</v>
      </c>
      <c r="G157" s="5" t="n">
        <v>11</v>
      </c>
      <c r="H157" s="5" t="n">
        <v>280</v>
      </c>
      <c r="I157" s="5" t="s">
        <v>459</v>
      </c>
      <c r="J157" s="6"/>
      <c r="K157" s="5" t="n">
        <f aca="false">IF(H157="","",H157-A157)</f>
        <v>124</v>
      </c>
      <c r="L157" s="5" t="n">
        <v>0</v>
      </c>
      <c r="M157" s="10" t="s">
        <v>460</v>
      </c>
    </row>
    <row r="158" customFormat="false" ht="15" hidden="false" customHeight="false" outlineLevel="0" collapsed="false">
      <c r="A158" s="5" t="n">
        <v>157</v>
      </c>
      <c r="B158" s="5" t="n">
        <v>11</v>
      </c>
      <c r="C158" s="6" t="s">
        <v>434</v>
      </c>
      <c r="D158" s="7" t="s">
        <v>461</v>
      </c>
      <c r="E158" s="8" t="s">
        <v>15</v>
      </c>
      <c r="F158" s="5" t="s">
        <v>72</v>
      </c>
      <c r="G158" s="5" t="n">
        <v>10</v>
      </c>
      <c r="H158" s="5" t="n">
        <v>166</v>
      </c>
      <c r="I158" s="5" t="s">
        <v>462</v>
      </c>
      <c r="J158" s="6"/>
      <c r="K158" s="5" t="n">
        <f aca="false">IF(H158="","",H158-A158)</f>
        <v>9</v>
      </c>
      <c r="L158" s="5" t="n">
        <v>0</v>
      </c>
      <c r="M158" s="6"/>
    </row>
    <row r="159" customFormat="false" ht="15" hidden="false" customHeight="false" outlineLevel="0" collapsed="false">
      <c r="A159" s="5" t="n">
        <v>158</v>
      </c>
      <c r="B159" s="5" t="n">
        <v>11</v>
      </c>
      <c r="C159" s="6" t="s">
        <v>434</v>
      </c>
      <c r="D159" s="7" t="s">
        <v>463</v>
      </c>
      <c r="E159" s="8" t="s">
        <v>15</v>
      </c>
      <c r="F159" s="5" t="s">
        <v>144</v>
      </c>
      <c r="G159" s="5" t="n">
        <v>11</v>
      </c>
      <c r="H159" s="5" t="n">
        <v>168</v>
      </c>
      <c r="I159" s="5" t="s">
        <v>464</v>
      </c>
      <c r="J159" s="6"/>
      <c r="K159" s="5" t="n">
        <f aca="false">IF(H159="","",H159-A159)</f>
        <v>10</v>
      </c>
      <c r="L159" s="5" t="n">
        <v>0</v>
      </c>
      <c r="M159" s="6"/>
    </row>
    <row r="160" customFormat="false" ht="15" hidden="false" customHeight="false" outlineLevel="0" collapsed="false">
      <c r="A160" s="5" t="n">
        <v>159</v>
      </c>
      <c r="B160" s="5" t="n">
        <v>11</v>
      </c>
      <c r="C160" s="6" t="s">
        <v>434</v>
      </c>
      <c r="D160" s="7" t="s">
        <v>465</v>
      </c>
      <c r="E160" s="8" t="s">
        <v>15</v>
      </c>
      <c r="F160" s="5" t="s">
        <v>56</v>
      </c>
      <c r="G160" s="5" t="n">
        <v>7</v>
      </c>
      <c r="H160" s="5" t="n">
        <v>167</v>
      </c>
      <c r="I160" s="5" t="s">
        <v>466</v>
      </c>
      <c r="J160" s="6"/>
      <c r="K160" s="5" t="n">
        <f aca="false">IF(H160="","",H160-A160)</f>
        <v>8</v>
      </c>
      <c r="L160" s="5" t="n">
        <v>0</v>
      </c>
      <c r="M160" s="6"/>
    </row>
    <row r="161" customFormat="false" ht="15" hidden="false" customHeight="false" outlineLevel="0" collapsed="false">
      <c r="A161" s="5" t="n">
        <v>160</v>
      </c>
      <c r="B161" s="5" t="n">
        <v>11</v>
      </c>
      <c r="C161" s="6" t="s">
        <v>434</v>
      </c>
      <c r="D161" s="7" t="s">
        <v>467</v>
      </c>
      <c r="E161" s="9" t="s">
        <v>22</v>
      </c>
      <c r="F161" s="5" t="s">
        <v>64</v>
      </c>
      <c r="G161" s="5" t="n">
        <v>8</v>
      </c>
      <c r="H161" s="5" t="n">
        <v>202</v>
      </c>
      <c r="I161" s="5" t="s">
        <v>468</v>
      </c>
      <c r="J161" s="6"/>
      <c r="K161" s="5" t="n">
        <f aca="false">IF(H161="","",H161-A161)</f>
        <v>42</v>
      </c>
      <c r="L161" s="5" t="n">
        <v>0</v>
      </c>
      <c r="M161" s="10" t="s">
        <v>469</v>
      </c>
    </row>
    <row r="162" customFormat="false" ht="15" hidden="false" customHeight="false" outlineLevel="0" collapsed="false">
      <c r="A162" s="5" t="n">
        <v>161</v>
      </c>
      <c r="B162" s="5" t="n">
        <v>11</v>
      </c>
      <c r="C162" s="6" t="s">
        <v>434</v>
      </c>
      <c r="D162" s="7" t="s">
        <v>470</v>
      </c>
      <c r="E162" s="11" t="s">
        <v>59</v>
      </c>
      <c r="F162" s="5" t="s">
        <v>106</v>
      </c>
      <c r="G162" s="5" t="n">
        <v>13</v>
      </c>
      <c r="H162" s="5" t="n">
        <v>159</v>
      </c>
      <c r="I162" s="5" t="s">
        <v>471</v>
      </c>
      <c r="J162" s="6" t="n">
        <v>194</v>
      </c>
      <c r="K162" s="5" t="n">
        <f aca="false">IF(H162="","",H162-A162)</f>
        <v>-2</v>
      </c>
      <c r="L162" s="5" t="n">
        <v>0</v>
      </c>
      <c r="M162" s="10" t="s">
        <v>472</v>
      </c>
    </row>
    <row r="163" customFormat="false" ht="15" hidden="false" customHeight="false" outlineLevel="0" collapsed="false">
      <c r="A163" s="5" t="n">
        <v>162</v>
      </c>
      <c r="B163" s="5" t="n">
        <v>11</v>
      </c>
      <c r="C163" s="6" t="s">
        <v>434</v>
      </c>
      <c r="D163" s="7" t="s">
        <v>473</v>
      </c>
      <c r="E163" s="11" t="s">
        <v>59</v>
      </c>
      <c r="F163" s="5" t="s">
        <v>186</v>
      </c>
      <c r="G163" s="5" t="n">
        <v>7</v>
      </c>
      <c r="H163" s="5" t="n">
        <v>194</v>
      </c>
      <c r="I163" s="5" t="s">
        <v>474</v>
      </c>
      <c r="J163" s="6"/>
      <c r="K163" s="5" t="n">
        <f aca="false">IF(H163="","",H163-A163)</f>
        <v>32</v>
      </c>
      <c r="L163" s="5" t="n">
        <v>0</v>
      </c>
      <c r="M163" s="6"/>
    </row>
    <row r="164" customFormat="false" ht="15" hidden="false" customHeight="false" outlineLevel="0" collapsed="false">
      <c r="A164" s="5" t="n">
        <v>163</v>
      </c>
      <c r="B164" s="5" t="n">
        <v>11</v>
      </c>
      <c r="C164" s="6" t="s">
        <v>434</v>
      </c>
      <c r="D164" s="7" t="s">
        <v>475</v>
      </c>
      <c r="E164" s="11" t="s">
        <v>59</v>
      </c>
      <c r="F164" s="5" t="s">
        <v>136</v>
      </c>
      <c r="G164" s="5" t="n">
        <v>7</v>
      </c>
      <c r="H164" s="5" t="n">
        <v>216</v>
      </c>
      <c r="I164" s="5" t="s">
        <v>476</v>
      </c>
      <c r="J164" s="6"/>
      <c r="K164" s="5" t="n">
        <f aca="false">IF(H164="","",H164-A164)</f>
        <v>53</v>
      </c>
      <c r="L164" s="5" t="n">
        <v>0</v>
      </c>
      <c r="M164" s="10" t="s">
        <v>477</v>
      </c>
    </row>
    <row r="165" customFormat="false" ht="15" hidden="false" customHeight="false" outlineLevel="0" collapsed="false">
      <c r="A165" s="5" t="n">
        <v>164</v>
      </c>
      <c r="B165" s="5" t="n">
        <v>11</v>
      </c>
      <c r="C165" s="6" t="s">
        <v>434</v>
      </c>
      <c r="D165" s="7" t="s">
        <v>478</v>
      </c>
      <c r="E165" s="11" t="s">
        <v>59</v>
      </c>
      <c r="F165" s="5" t="s">
        <v>47</v>
      </c>
      <c r="G165" s="5" t="n">
        <v>6</v>
      </c>
      <c r="H165" s="5" t="n">
        <v>117</v>
      </c>
      <c r="I165" s="5" t="s">
        <v>479</v>
      </c>
      <c r="J165" s="6" t="n">
        <v>169</v>
      </c>
      <c r="K165" s="5" t="n">
        <f aca="false">IF(H165="","",H165-A165)</f>
        <v>-47</v>
      </c>
      <c r="L165" s="5" t="n">
        <v>2</v>
      </c>
      <c r="M165" s="10" t="s">
        <v>480</v>
      </c>
    </row>
    <row r="166" customFormat="false" ht="15" hidden="false" customHeight="false" outlineLevel="0" collapsed="false">
      <c r="A166" s="5" t="n">
        <v>165</v>
      </c>
      <c r="B166" s="5" t="n">
        <v>11</v>
      </c>
      <c r="C166" s="6" t="s">
        <v>434</v>
      </c>
      <c r="D166" s="7" t="s">
        <v>481</v>
      </c>
      <c r="E166" s="11" t="s">
        <v>59</v>
      </c>
      <c r="F166" s="5" t="s">
        <v>68</v>
      </c>
      <c r="G166" s="5" t="n">
        <v>11</v>
      </c>
      <c r="H166" s="5" t="n">
        <v>118</v>
      </c>
      <c r="I166" s="5" t="s">
        <v>482</v>
      </c>
      <c r="J166" s="6" t="n">
        <v>173.5</v>
      </c>
      <c r="K166" s="5" t="n">
        <f aca="false">IF(H166="","",H166-A166)</f>
        <v>-47</v>
      </c>
      <c r="L166" s="5" t="n">
        <v>2</v>
      </c>
      <c r="M166" s="10" t="s">
        <v>483</v>
      </c>
    </row>
    <row r="167" customFormat="false" ht="15" hidden="false" customHeight="false" outlineLevel="0" collapsed="false">
      <c r="A167" s="5" t="n">
        <v>166</v>
      </c>
      <c r="B167" s="5" t="n">
        <v>11</v>
      </c>
      <c r="C167" s="6" t="s">
        <v>434</v>
      </c>
      <c r="D167" s="7" t="s">
        <v>484</v>
      </c>
      <c r="E167" s="11" t="s">
        <v>59</v>
      </c>
      <c r="F167" s="5" t="s">
        <v>27</v>
      </c>
      <c r="G167" s="5" t="n">
        <v>11</v>
      </c>
      <c r="H167" s="5" t="n">
        <v>119</v>
      </c>
      <c r="I167" s="5" t="s">
        <v>485</v>
      </c>
      <c r="J167" s="6" t="n">
        <v>188</v>
      </c>
      <c r="K167" s="5" t="n">
        <f aca="false">IF(H167="","",H167-A167)</f>
        <v>-47</v>
      </c>
      <c r="L167" s="5" t="n">
        <v>2</v>
      </c>
      <c r="M167" s="10" t="s">
        <v>486</v>
      </c>
    </row>
    <row r="168" customFormat="false" ht="15" hidden="false" customHeight="false" outlineLevel="0" collapsed="false">
      <c r="A168" s="5" t="n">
        <v>167</v>
      </c>
      <c r="B168" s="5" t="n">
        <v>11</v>
      </c>
      <c r="C168" s="6" t="s">
        <v>434</v>
      </c>
      <c r="D168" s="7" t="s">
        <v>487</v>
      </c>
      <c r="E168" s="11" t="s">
        <v>59</v>
      </c>
      <c r="F168" s="5" t="s">
        <v>85</v>
      </c>
      <c r="G168" s="5" t="n">
        <v>8</v>
      </c>
      <c r="H168" s="5" t="n">
        <v>160</v>
      </c>
      <c r="I168" s="5" t="s">
        <v>488</v>
      </c>
      <c r="J168" s="6" t="n">
        <v>155.2</v>
      </c>
      <c r="K168" s="5" t="n">
        <f aca="false">IF(H168="","",H168-A168)</f>
        <v>-7</v>
      </c>
      <c r="L168" s="5" t="n">
        <v>0</v>
      </c>
      <c r="M168" s="10" t="s">
        <v>489</v>
      </c>
    </row>
    <row r="169" customFormat="false" ht="15" hidden="false" customHeight="false" outlineLevel="0" collapsed="false">
      <c r="A169" s="5" t="n">
        <v>168</v>
      </c>
      <c r="B169" s="5" t="n">
        <v>11</v>
      </c>
      <c r="C169" s="6" t="s">
        <v>434</v>
      </c>
      <c r="D169" s="7" t="s">
        <v>490</v>
      </c>
      <c r="E169" s="8" t="s">
        <v>15</v>
      </c>
      <c r="F169" s="5" t="s">
        <v>96</v>
      </c>
      <c r="G169" s="5" t="n">
        <v>8</v>
      </c>
      <c r="H169" s="5" t="n">
        <v>193</v>
      </c>
      <c r="I169" s="5" t="s">
        <v>491</v>
      </c>
      <c r="J169" s="6"/>
      <c r="K169" s="5" t="n">
        <f aca="false">IF(H169="","",H169-A169)</f>
        <v>25</v>
      </c>
      <c r="L169" s="5" t="n">
        <v>0</v>
      </c>
      <c r="M169" s="10" t="s">
        <v>492</v>
      </c>
    </row>
    <row r="170" customFormat="false" ht="15" hidden="false" customHeight="false" outlineLevel="0" collapsed="false">
      <c r="A170" s="5" t="n">
        <v>169</v>
      </c>
      <c r="B170" s="5" t="n">
        <v>11</v>
      </c>
      <c r="C170" s="6" t="s">
        <v>434</v>
      </c>
      <c r="D170" s="7" t="s">
        <v>493</v>
      </c>
      <c r="E170" s="8" t="s">
        <v>15</v>
      </c>
      <c r="F170" s="5" t="s">
        <v>85</v>
      </c>
      <c r="G170" s="5" t="n">
        <v>8</v>
      </c>
      <c r="H170" s="5" t="n">
        <v>195</v>
      </c>
      <c r="I170" s="5" t="s">
        <v>494</v>
      </c>
      <c r="J170" s="6"/>
      <c r="K170" s="5" t="n">
        <f aca="false">IF(H170="","",H170-A170)</f>
        <v>26</v>
      </c>
      <c r="L170" s="5" t="n">
        <v>0</v>
      </c>
      <c r="M170" s="6"/>
    </row>
    <row r="171" customFormat="false" ht="15" hidden="false" customHeight="false" outlineLevel="0" collapsed="false">
      <c r="A171" s="5" t="n">
        <v>170</v>
      </c>
      <c r="B171" s="5" t="n">
        <v>11</v>
      </c>
      <c r="C171" s="6" t="s">
        <v>434</v>
      </c>
      <c r="D171" s="7" t="s">
        <v>495</v>
      </c>
      <c r="E171" s="9" t="s">
        <v>22</v>
      </c>
      <c r="F171" s="5" t="s">
        <v>30</v>
      </c>
      <c r="G171" s="5" t="n">
        <v>11</v>
      </c>
      <c r="H171" s="5" t="n">
        <v>227</v>
      </c>
      <c r="I171" s="5" t="s">
        <v>496</v>
      </c>
      <c r="J171" s="6"/>
      <c r="K171" s="5" t="n">
        <f aca="false">IF(H171="","",H171-A171)</f>
        <v>57</v>
      </c>
      <c r="L171" s="5" t="n">
        <v>0</v>
      </c>
      <c r="M171" s="6"/>
    </row>
    <row r="172" customFormat="false" ht="15" hidden="false" customHeight="false" outlineLevel="0" collapsed="false">
      <c r="A172" s="5" t="n">
        <v>171</v>
      </c>
      <c r="B172" s="5" t="n">
        <v>11</v>
      </c>
      <c r="C172" s="6" t="s">
        <v>434</v>
      </c>
      <c r="D172" s="7" t="s">
        <v>497</v>
      </c>
      <c r="E172" s="9" t="s">
        <v>22</v>
      </c>
      <c r="F172" s="5" t="s">
        <v>186</v>
      </c>
      <c r="G172" s="5" t="n">
        <v>7</v>
      </c>
      <c r="H172" s="5" t="n">
        <v>147</v>
      </c>
      <c r="I172" s="5" t="s">
        <v>498</v>
      </c>
      <c r="J172" s="6" t="n">
        <v>203.9</v>
      </c>
      <c r="K172" s="5" t="n">
        <f aca="false">IF(H172="","",H172-A172)</f>
        <v>-24</v>
      </c>
      <c r="L172" s="5" t="n">
        <v>0</v>
      </c>
      <c r="M172" s="10" t="s">
        <v>499</v>
      </c>
    </row>
    <row r="173" customFormat="false" ht="15" hidden="false" customHeight="false" outlineLevel="0" collapsed="false">
      <c r="A173" s="5" t="n">
        <v>172</v>
      </c>
      <c r="B173" s="5" t="n">
        <v>11</v>
      </c>
      <c r="C173" s="6" t="s">
        <v>434</v>
      </c>
      <c r="D173" s="7" t="s">
        <v>500</v>
      </c>
      <c r="E173" s="9" t="s">
        <v>22</v>
      </c>
      <c r="F173" s="5" t="s">
        <v>79</v>
      </c>
      <c r="G173" s="5" t="n">
        <v>13</v>
      </c>
      <c r="H173" s="5" t="n">
        <v>162</v>
      </c>
      <c r="I173" s="5" t="s">
        <v>501</v>
      </c>
      <c r="J173" s="6"/>
      <c r="K173" s="5" t="n">
        <f aca="false">IF(H173="","",H173-A173)</f>
        <v>-10</v>
      </c>
      <c r="L173" s="5" t="n">
        <v>0</v>
      </c>
      <c r="M173" s="6"/>
    </row>
    <row r="174" customFormat="false" ht="15" hidden="false" customHeight="false" outlineLevel="0" collapsed="false">
      <c r="A174" s="5" t="n">
        <v>173</v>
      </c>
      <c r="B174" s="5" t="n">
        <v>11</v>
      </c>
      <c r="C174" s="6" t="s">
        <v>434</v>
      </c>
      <c r="D174" s="7" t="s">
        <v>502</v>
      </c>
      <c r="E174" s="9" t="s">
        <v>22</v>
      </c>
      <c r="F174" s="5" t="s">
        <v>64</v>
      </c>
      <c r="G174" s="5" t="n">
        <v>8</v>
      </c>
      <c r="H174" s="5" t="n">
        <v>165</v>
      </c>
      <c r="I174" s="5" t="s">
        <v>503</v>
      </c>
      <c r="J174" s="6"/>
      <c r="K174" s="5" t="n">
        <f aca="false">IF(H174="","",H174-A174)</f>
        <v>-8</v>
      </c>
      <c r="L174" s="5" t="n">
        <v>0</v>
      </c>
      <c r="M174" s="6"/>
    </row>
    <row r="175" customFormat="false" ht="15" hidden="false" customHeight="false" outlineLevel="0" collapsed="false">
      <c r="A175" s="5" t="n">
        <v>174</v>
      </c>
      <c r="B175" s="5" t="n">
        <v>11</v>
      </c>
      <c r="C175" s="6" t="s">
        <v>434</v>
      </c>
      <c r="D175" s="7" t="s">
        <v>504</v>
      </c>
      <c r="E175" s="9" t="s">
        <v>22</v>
      </c>
      <c r="F175" s="5" t="s">
        <v>72</v>
      </c>
      <c r="G175" s="5" t="n">
        <v>10</v>
      </c>
      <c r="H175" s="5" t="n">
        <v>163</v>
      </c>
      <c r="I175" s="5" t="s">
        <v>505</v>
      </c>
      <c r="J175" s="6"/>
      <c r="K175" s="5" t="n">
        <f aca="false">IF(H175="","",H175-A175)</f>
        <v>-11</v>
      </c>
      <c r="L175" s="5" t="n">
        <v>0</v>
      </c>
      <c r="M175" s="6"/>
    </row>
    <row r="176" customFormat="false" ht="15" hidden="false" customHeight="false" outlineLevel="0" collapsed="false">
      <c r="A176" s="5" t="n">
        <v>175</v>
      </c>
      <c r="B176" s="5" t="n">
        <v>11</v>
      </c>
      <c r="C176" s="6" t="s">
        <v>434</v>
      </c>
      <c r="D176" s="7" t="s">
        <v>506</v>
      </c>
      <c r="E176" s="9" t="s">
        <v>22</v>
      </c>
      <c r="F176" s="5" t="s">
        <v>85</v>
      </c>
      <c r="G176" s="5" t="n">
        <v>8</v>
      </c>
      <c r="H176" s="5" t="n">
        <v>164</v>
      </c>
      <c r="I176" s="5" t="s">
        <v>507</v>
      </c>
      <c r="J176" s="6"/>
      <c r="K176" s="5" t="n">
        <f aca="false">IF(H176="","",H176-A176)</f>
        <v>-11</v>
      </c>
      <c r="L176" s="5" t="n">
        <v>0</v>
      </c>
      <c r="M176" s="6"/>
    </row>
    <row r="177" customFormat="false" ht="15" hidden="false" customHeight="false" outlineLevel="0" collapsed="false">
      <c r="A177" s="5" t="n">
        <v>176</v>
      </c>
      <c r="B177" s="5" t="n">
        <v>11</v>
      </c>
      <c r="C177" s="6" t="s">
        <v>434</v>
      </c>
      <c r="D177" s="7" t="s">
        <v>508</v>
      </c>
      <c r="E177" s="12" t="s">
        <v>174</v>
      </c>
      <c r="F177" s="5" t="s">
        <v>85</v>
      </c>
      <c r="G177" s="5" t="n">
        <v>8</v>
      </c>
      <c r="H177" s="5" t="n">
        <v>134</v>
      </c>
      <c r="I177" s="5" t="s">
        <v>509</v>
      </c>
      <c r="J177" s="6" t="n">
        <v>129.9</v>
      </c>
      <c r="K177" s="5" t="n">
        <f aca="false">IF(H177="","",H177-A177)</f>
        <v>-42</v>
      </c>
      <c r="L177" s="5" t="n">
        <v>1</v>
      </c>
      <c r="M177" s="6"/>
    </row>
    <row r="178" customFormat="false" ht="15" hidden="false" customHeight="false" outlineLevel="0" collapsed="false">
      <c r="A178" s="5" t="n">
        <v>177</v>
      </c>
      <c r="B178" s="5" t="n">
        <v>11</v>
      </c>
      <c r="C178" s="6" t="s">
        <v>434</v>
      </c>
      <c r="D178" s="7" t="s">
        <v>510</v>
      </c>
      <c r="E178" s="12" t="s">
        <v>174</v>
      </c>
      <c r="F178" s="5" t="s">
        <v>40</v>
      </c>
      <c r="G178" s="5" t="n">
        <v>13</v>
      </c>
      <c r="H178" s="5" t="n">
        <v>136</v>
      </c>
      <c r="I178" s="5" t="s">
        <v>511</v>
      </c>
      <c r="J178" s="6" t="n">
        <v>169.7</v>
      </c>
      <c r="K178" s="5" t="n">
        <f aca="false">IF(H178="","",H178-A178)</f>
        <v>-41</v>
      </c>
      <c r="L178" s="5" t="n">
        <v>1</v>
      </c>
      <c r="M178" s="10" t="s">
        <v>323</v>
      </c>
    </row>
    <row r="179" customFormat="false" ht="15" hidden="false" customHeight="false" outlineLevel="0" collapsed="false">
      <c r="A179" s="5" t="n">
        <v>178</v>
      </c>
      <c r="B179" s="5" t="n">
        <v>11</v>
      </c>
      <c r="C179" s="6" t="s">
        <v>434</v>
      </c>
      <c r="D179" s="7" t="s">
        <v>512</v>
      </c>
      <c r="E179" s="12" t="s">
        <v>174</v>
      </c>
      <c r="F179" s="5" t="s">
        <v>190</v>
      </c>
      <c r="G179" s="5" t="n">
        <v>11</v>
      </c>
      <c r="H179" s="5" t="n">
        <v>198</v>
      </c>
      <c r="I179" s="5" t="s">
        <v>513</v>
      </c>
      <c r="J179" s="6"/>
      <c r="K179" s="5" t="n">
        <f aca="false">IF(H179="","",H179-A179)</f>
        <v>20</v>
      </c>
      <c r="L179" s="5" t="n">
        <v>0</v>
      </c>
      <c r="M179" s="6"/>
    </row>
    <row r="180" customFormat="false" ht="15" hidden="false" customHeight="false" outlineLevel="0" collapsed="false">
      <c r="A180" s="5" t="n">
        <v>179</v>
      </c>
      <c r="B180" s="5" t="n">
        <v>11</v>
      </c>
      <c r="C180" s="6" t="s">
        <v>434</v>
      </c>
      <c r="D180" s="7" t="s">
        <v>514</v>
      </c>
      <c r="E180" s="12" t="s">
        <v>174</v>
      </c>
      <c r="F180" s="5" t="s">
        <v>64</v>
      </c>
      <c r="G180" s="5" t="n">
        <v>8</v>
      </c>
      <c r="H180" s="5" t="n">
        <v>199</v>
      </c>
      <c r="I180" s="5" t="s">
        <v>515</v>
      </c>
      <c r="J180" s="6"/>
      <c r="K180" s="5" t="n">
        <f aca="false">IF(H180="","",H180-A180)</f>
        <v>20</v>
      </c>
      <c r="L180" s="5" t="n">
        <v>0</v>
      </c>
      <c r="M180" s="6"/>
    </row>
    <row r="181" customFormat="false" ht="15" hidden="false" customHeight="false" outlineLevel="0" collapsed="false">
      <c r="A181" s="5" t="n">
        <v>180</v>
      </c>
      <c r="B181" s="5" t="n">
        <v>11</v>
      </c>
      <c r="C181" s="6" t="s">
        <v>434</v>
      </c>
      <c r="D181" s="7" t="s">
        <v>516</v>
      </c>
      <c r="E181" s="12" t="s">
        <v>174</v>
      </c>
      <c r="F181" s="5" t="s">
        <v>30</v>
      </c>
      <c r="G181" s="5" t="n">
        <v>11</v>
      </c>
      <c r="H181" s="5" t="n">
        <v>200</v>
      </c>
      <c r="I181" s="5" t="s">
        <v>517</v>
      </c>
      <c r="J181" s="6"/>
      <c r="K181" s="5" t="n">
        <f aca="false">IF(H181="","",H181-A181)</f>
        <v>20</v>
      </c>
      <c r="L181" s="5" t="n">
        <v>0</v>
      </c>
      <c r="M181" s="6"/>
    </row>
    <row r="182" customFormat="false" ht="15" hidden="false" customHeight="false" outlineLevel="0" collapsed="false">
      <c r="A182" s="5" t="n">
        <v>181</v>
      </c>
      <c r="B182" s="5" t="n">
        <v>11</v>
      </c>
      <c r="C182" s="6" t="s">
        <v>434</v>
      </c>
      <c r="D182" s="7" t="s">
        <v>518</v>
      </c>
      <c r="E182" s="12" t="s">
        <v>174</v>
      </c>
      <c r="F182" s="5" t="s">
        <v>199</v>
      </c>
      <c r="G182" s="5" t="n">
        <v>9</v>
      </c>
      <c r="H182" s="5" t="n">
        <v>219</v>
      </c>
      <c r="I182" s="5" t="s">
        <v>519</v>
      </c>
      <c r="J182" s="6"/>
      <c r="K182" s="5" t="n">
        <f aca="false">IF(H182="","",H182-A182)</f>
        <v>38</v>
      </c>
      <c r="L182" s="5" t="n">
        <v>0</v>
      </c>
      <c r="M182" s="10" t="s">
        <v>520</v>
      </c>
    </row>
    <row r="183" customFormat="false" ht="15" hidden="false" customHeight="false" outlineLevel="0" collapsed="false">
      <c r="A183" s="2" t="n">
        <v>182</v>
      </c>
      <c r="B183" s="2" t="n">
        <v>12</v>
      </c>
      <c r="C183" s="3" t="s">
        <v>521</v>
      </c>
      <c r="D183" s="4" t="s">
        <v>522</v>
      </c>
      <c r="E183" s="2" t="s">
        <v>523</v>
      </c>
      <c r="F183" s="2" t="s">
        <v>64</v>
      </c>
      <c r="G183" s="2" t="n">
        <v>8</v>
      </c>
      <c r="H183" s="2" t="n">
        <v>169</v>
      </c>
      <c r="I183" s="2" t="s">
        <v>524</v>
      </c>
      <c r="J183" s="3"/>
      <c r="K183" s="2" t="n">
        <f aca="false">IF(H183="","",H183-A183)</f>
        <v>-13</v>
      </c>
      <c r="L183" s="2" t="n">
        <v>1</v>
      </c>
      <c r="M183" s="10" t="s">
        <v>525</v>
      </c>
    </row>
    <row r="184" customFormat="false" ht="15" hidden="false" customHeight="false" outlineLevel="0" collapsed="false">
      <c r="A184" s="5" t="n">
        <v>183</v>
      </c>
      <c r="B184" s="5" t="n">
        <v>12</v>
      </c>
      <c r="C184" s="6" t="s">
        <v>521</v>
      </c>
      <c r="D184" s="7" t="s">
        <v>526</v>
      </c>
      <c r="E184" s="13" t="s">
        <v>523</v>
      </c>
      <c r="F184" s="5" t="s">
        <v>153</v>
      </c>
      <c r="G184" s="5" t="n">
        <v>10</v>
      </c>
      <c r="H184" s="5" t="n">
        <v>170</v>
      </c>
      <c r="I184" s="5" t="s">
        <v>527</v>
      </c>
      <c r="J184" s="6"/>
      <c r="K184" s="5" t="n">
        <f aca="false">IF(H184="","",H184-A184)</f>
        <v>-13</v>
      </c>
      <c r="L184" s="5" t="n">
        <v>1</v>
      </c>
      <c r="M184" s="10" t="s">
        <v>528</v>
      </c>
    </row>
    <row r="185" customFormat="false" ht="15" hidden="false" customHeight="false" outlineLevel="0" collapsed="false">
      <c r="A185" s="5" t="n">
        <v>184</v>
      </c>
      <c r="B185" s="5" t="n">
        <v>12</v>
      </c>
      <c r="C185" s="6" t="s">
        <v>521</v>
      </c>
      <c r="D185" s="7" t="s">
        <v>529</v>
      </c>
      <c r="E185" s="13" t="s">
        <v>523</v>
      </c>
      <c r="F185" s="5" t="s">
        <v>194</v>
      </c>
      <c r="G185" s="5" t="n">
        <v>9</v>
      </c>
      <c r="H185" s="5" t="n">
        <v>171</v>
      </c>
      <c r="I185" s="5" t="s">
        <v>530</v>
      </c>
      <c r="J185" s="6"/>
      <c r="K185" s="5" t="n">
        <f aca="false">IF(H185="","",H185-A185)</f>
        <v>-13</v>
      </c>
      <c r="L185" s="5" t="n">
        <v>1</v>
      </c>
      <c r="M185" s="10" t="s">
        <v>531</v>
      </c>
    </row>
    <row r="186" customFormat="false" ht="15" hidden="false" customHeight="false" outlineLevel="0" collapsed="false">
      <c r="A186" s="5" t="n">
        <v>185</v>
      </c>
      <c r="B186" s="5" t="n">
        <v>12</v>
      </c>
      <c r="C186" s="6" t="s">
        <v>521</v>
      </c>
      <c r="D186" s="7" t="s">
        <v>532</v>
      </c>
      <c r="E186" s="13" t="s">
        <v>523</v>
      </c>
      <c r="F186" s="5" t="s">
        <v>27</v>
      </c>
      <c r="G186" s="5" t="n">
        <v>11</v>
      </c>
      <c r="H186" s="5" t="n">
        <v>173</v>
      </c>
      <c r="I186" s="5" t="s">
        <v>533</v>
      </c>
      <c r="J186" s="6"/>
      <c r="K186" s="5" t="n">
        <f aca="false">IF(H186="","",H186-A186)</f>
        <v>-12</v>
      </c>
      <c r="L186" s="5" t="n">
        <v>1</v>
      </c>
      <c r="M186" s="10" t="s">
        <v>534</v>
      </c>
    </row>
    <row r="187" customFormat="false" ht="15" hidden="false" customHeight="false" outlineLevel="0" collapsed="false">
      <c r="A187" s="5" t="n">
        <v>186</v>
      </c>
      <c r="B187" s="5" t="n">
        <v>12</v>
      </c>
      <c r="C187" s="6" t="s">
        <v>521</v>
      </c>
      <c r="D187" s="7" t="s">
        <v>535</v>
      </c>
      <c r="E187" s="13" t="s">
        <v>523</v>
      </c>
      <c r="F187" s="5" t="s">
        <v>30</v>
      </c>
      <c r="G187" s="5" t="n">
        <v>11</v>
      </c>
      <c r="H187" s="5" t="n">
        <v>172</v>
      </c>
      <c r="I187" s="5" t="s">
        <v>536</v>
      </c>
      <c r="J187" s="6"/>
      <c r="K187" s="5" t="n">
        <f aca="false">IF(H187="","",H187-A187)</f>
        <v>-14</v>
      </c>
      <c r="L187" s="5" t="n">
        <v>1</v>
      </c>
      <c r="M187" s="10" t="s">
        <v>537</v>
      </c>
    </row>
    <row r="188" customFormat="false" ht="15" hidden="false" customHeight="false" outlineLevel="0" collapsed="false">
      <c r="A188" s="5" t="n">
        <v>187</v>
      </c>
      <c r="B188" s="5" t="n">
        <v>12</v>
      </c>
      <c r="C188" s="6" t="s">
        <v>521</v>
      </c>
      <c r="D188" s="7" t="s">
        <v>538</v>
      </c>
      <c r="E188" s="13" t="s">
        <v>523</v>
      </c>
      <c r="F188" s="5" t="s">
        <v>72</v>
      </c>
      <c r="G188" s="5" t="n">
        <v>10</v>
      </c>
      <c r="H188" s="5" t="n">
        <v>175</v>
      </c>
      <c r="I188" s="5" t="s">
        <v>539</v>
      </c>
      <c r="J188" s="6"/>
      <c r="K188" s="5" t="n">
        <f aca="false">IF(H188="","",H188-A188)</f>
        <v>-12</v>
      </c>
      <c r="L188" s="5" t="n">
        <v>1</v>
      </c>
      <c r="M188" s="10" t="s">
        <v>540</v>
      </c>
    </row>
    <row r="189" customFormat="false" ht="15" hidden="false" customHeight="false" outlineLevel="0" collapsed="false">
      <c r="A189" s="5" t="n">
        <v>188</v>
      </c>
      <c r="B189" s="5" t="n">
        <v>12</v>
      </c>
      <c r="C189" s="6" t="s">
        <v>521</v>
      </c>
      <c r="D189" s="7" t="s">
        <v>541</v>
      </c>
      <c r="E189" s="13" t="s">
        <v>523</v>
      </c>
      <c r="F189" s="5" t="s">
        <v>79</v>
      </c>
      <c r="G189" s="5" t="n">
        <v>13</v>
      </c>
      <c r="H189" s="5" t="n">
        <v>174</v>
      </c>
      <c r="I189" s="5" t="s">
        <v>542</v>
      </c>
      <c r="J189" s="6"/>
      <c r="K189" s="5" t="n">
        <f aca="false">IF(H189="","",H189-A189)</f>
        <v>-14</v>
      </c>
      <c r="L189" s="5" t="n">
        <v>1</v>
      </c>
      <c r="M189" s="10" t="s">
        <v>543</v>
      </c>
    </row>
    <row r="190" customFormat="false" ht="15" hidden="false" customHeight="false" outlineLevel="0" collapsed="false">
      <c r="A190" s="5" t="n">
        <v>189</v>
      </c>
      <c r="B190" s="5" t="n">
        <v>12</v>
      </c>
      <c r="C190" s="6" t="s">
        <v>521</v>
      </c>
      <c r="D190" s="7" t="s">
        <v>544</v>
      </c>
      <c r="E190" s="13" t="s">
        <v>523</v>
      </c>
      <c r="F190" s="5" t="s">
        <v>68</v>
      </c>
      <c r="G190" s="5" t="n">
        <v>11</v>
      </c>
      <c r="H190" s="5" t="n">
        <v>177</v>
      </c>
      <c r="I190" s="5" t="s">
        <v>545</v>
      </c>
      <c r="J190" s="6"/>
      <c r="K190" s="5" t="n">
        <f aca="false">IF(H190="","",H190-A190)</f>
        <v>-12</v>
      </c>
      <c r="L190" s="5" t="n">
        <v>1</v>
      </c>
      <c r="M190" s="10" t="s">
        <v>546</v>
      </c>
    </row>
    <row r="191" customFormat="false" ht="15" hidden="false" customHeight="false" outlineLevel="0" collapsed="false">
      <c r="A191" s="5" t="n">
        <v>190</v>
      </c>
      <c r="B191" s="5" t="n">
        <v>12</v>
      </c>
      <c r="C191" s="6" t="s">
        <v>521</v>
      </c>
      <c r="D191" s="7" t="s">
        <v>547</v>
      </c>
      <c r="E191" s="13" t="s">
        <v>523</v>
      </c>
      <c r="F191" s="5" t="s">
        <v>144</v>
      </c>
      <c r="G191" s="5" t="n">
        <v>11</v>
      </c>
      <c r="H191" s="5" t="n">
        <v>176</v>
      </c>
      <c r="I191" s="5" t="s">
        <v>548</v>
      </c>
      <c r="J191" s="6"/>
      <c r="K191" s="5" t="n">
        <f aca="false">IF(H191="","",H191-A191)</f>
        <v>-14</v>
      </c>
      <c r="L191" s="5" t="n">
        <v>1</v>
      </c>
      <c r="M191" s="10" t="s">
        <v>549</v>
      </c>
    </row>
    <row r="192" customFormat="false" ht="15" hidden="false" customHeight="false" outlineLevel="0" collapsed="false">
      <c r="A192" s="5" t="n">
        <v>191</v>
      </c>
      <c r="B192" s="5" t="n">
        <v>12</v>
      </c>
      <c r="C192" s="6" t="s">
        <v>521</v>
      </c>
      <c r="D192" s="7" t="s">
        <v>550</v>
      </c>
      <c r="E192" s="13" t="s">
        <v>523</v>
      </c>
      <c r="F192" s="5" t="s">
        <v>16</v>
      </c>
      <c r="G192" s="5" t="n">
        <v>6</v>
      </c>
      <c r="H192" s="5" t="n">
        <v>178</v>
      </c>
      <c r="I192" s="5" t="s">
        <v>551</v>
      </c>
      <c r="J192" s="6"/>
      <c r="K192" s="5" t="n">
        <f aca="false">IF(H192="","",H192-A192)</f>
        <v>-13</v>
      </c>
      <c r="L192" s="5" t="n">
        <v>1</v>
      </c>
      <c r="M192" s="10" t="s">
        <v>552</v>
      </c>
    </row>
    <row r="193" customFormat="false" ht="15" hidden="false" customHeight="false" outlineLevel="0" collapsed="false">
      <c r="A193" s="5" t="n">
        <v>192</v>
      </c>
      <c r="B193" s="5" t="n">
        <v>12</v>
      </c>
      <c r="C193" s="6" t="s">
        <v>521</v>
      </c>
      <c r="D193" s="7" t="s">
        <v>553</v>
      </c>
      <c r="E193" s="13" t="s">
        <v>523</v>
      </c>
      <c r="F193" s="5" t="s">
        <v>91</v>
      </c>
      <c r="G193" s="5" t="n">
        <v>5</v>
      </c>
      <c r="H193" s="5" t="n">
        <v>179</v>
      </c>
      <c r="I193" s="5" t="s">
        <v>554</v>
      </c>
      <c r="J193" s="6"/>
      <c r="K193" s="5" t="n">
        <f aca="false">IF(H193="","",H193-A193)</f>
        <v>-13</v>
      </c>
      <c r="L193" s="5" t="n">
        <v>0</v>
      </c>
      <c r="M193" s="10" t="s">
        <v>555</v>
      </c>
    </row>
    <row r="194" customFormat="false" ht="15" hidden="false" customHeight="false" outlineLevel="0" collapsed="false">
      <c r="A194" s="5" t="n">
        <v>193</v>
      </c>
      <c r="B194" s="5" t="n">
        <v>12</v>
      </c>
      <c r="C194" s="6" t="s">
        <v>521</v>
      </c>
      <c r="D194" s="7" t="s">
        <v>556</v>
      </c>
      <c r="E194" s="13" t="s">
        <v>523</v>
      </c>
      <c r="F194" s="5" t="s">
        <v>75</v>
      </c>
      <c r="G194" s="5" t="n">
        <v>7</v>
      </c>
      <c r="H194" s="5" t="n">
        <v>180</v>
      </c>
      <c r="I194" s="5" t="s">
        <v>557</v>
      </c>
      <c r="J194" s="6"/>
      <c r="K194" s="5" t="n">
        <f aca="false">IF(H194="","",H194-A194)</f>
        <v>-13</v>
      </c>
      <c r="L194" s="5" t="n">
        <v>0</v>
      </c>
      <c r="M194" s="10" t="s">
        <v>558</v>
      </c>
    </row>
  </sheetData>
  <autoFilter ref="A1:M1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14" t="s">
        <v>559</v>
      </c>
    </row>
    <row r="2" customFormat="false" ht="15" hidden="false" customHeight="false" outlineLevel="0" collapsed="false">
      <c r="A2" s="15" t="s">
        <v>560</v>
      </c>
    </row>
    <row r="3" customFormat="false" ht="15" hidden="false" customHeight="false" outlineLevel="0" collapsed="false">
      <c r="A3" s="15" t="s">
        <v>561</v>
      </c>
    </row>
    <row r="4" customFormat="false" ht="15" hidden="false" customHeight="false" outlineLevel="0" collapsed="false">
      <c r="A4" s="15"/>
    </row>
    <row r="5" customFormat="false" ht="15" hidden="false" customHeight="false" outlineLevel="0" collapsed="false">
      <c r="A5" s="14" t="s">
        <v>562</v>
      </c>
    </row>
    <row r="6" customFormat="false" ht="15" hidden="false" customHeight="false" outlineLevel="0" collapsed="false">
      <c r="A6" s="15" t="s">
        <v>563</v>
      </c>
    </row>
    <row r="7" customFormat="false" ht="15" hidden="false" customHeight="false" outlineLevel="0" collapsed="false">
      <c r="A7" s="15" t="s">
        <v>564</v>
      </c>
    </row>
    <row r="8" customFormat="false" ht="15" hidden="false" customHeight="false" outlineLevel="0" collapsed="false">
      <c r="A8" s="15" t="s">
        <v>565</v>
      </c>
    </row>
    <row r="9" customFormat="false" ht="15" hidden="false" customHeight="false" outlineLevel="0" collapsed="false">
      <c r="A9" s="15" t="s">
        <v>566</v>
      </c>
    </row>
    <row r="10" customFormat="false" ht="15" hidden="false" customHeight="false" outlineLevel="0" collapsed="false">
      <c r="A10" s="15" t="s">
        <v>567</v>
      </c>
    </row>
    <row r="11" customFormat="false" ht="15" hidden="false" customHeight="false" outlineLevel="0" collapsed="false">
      <c r="A11" s="15" t="s">
        <v>568</v>
      </c>
    </row>
    <row r="12" customFormat="false" ht="15" hidden="false" customHeight="false" outlineLevel="0" collapsed="false">
      <c r="A12" s="15" t="s">
        <v>569</v>
      </c>
    </row>
    <row r="13" customFormat="false" ht="15" hidden="false" customHeight="false" outlineLevel="0" collapsed="false">
      <c r="A13" s="15"/>
    </row>
    <row r="14" customFormat="false" ht="15" hidden="false" customHeight="false" outlineLevel="0" collapsed="false">
      <c r="A14" s="14" t="s">
        <v>570</v>
      </c>
    </row>
    <row r="15" customFormat="false" ht="15" hidden="false" customHeight="false" outlineLevel="0" collapsed="false">
      <c r="A15" s="15" t="s">
        <v>571</v>
      </c>
    </row>
    <row r="16" customFormat="false" ht="15" hidden="false" customHeight="false" outlineLevel="0" collapsed="false">
      <c r="A16" s="15"/>
    </row>
    <row r="17" customFormat="false" ht="15" hidden="false" customHeight="false" outlineLevel="0" collapsed="false">
      <c r="A17" s="15" t="s">
        <v>572</v>
      </c>
    </row>
    <row r="18" customFormat="false" ht="15" hidden="false" customHeight="false" outlineLevel="0" collapsed="false">
      <c r="A18" s="15" t="s">
        <v>573</v>
      </c>
    </row>
    <row r="19" customFormat="false" ht="15" hidden="false" customHeight="false" outlineLevel="0" collapsed="false">
      <c r="A19" s="15"/>
    </row>
    <row r="20" customFormat="false" ht="15" hidden="false" customHeight="false" outlineLevel="0" collapsed="false">
      <c r="A20" s="15" t="s">
        <v>574</v>
      </c>
    </row>
    <row r="21" customFormat="false" ht="15" hidden="false" customHeight="false" outlineLevel="0" collapsed="false">
      <c r="A21" s="15" t="s">
        <v>575</v>
      </c>
    </row>
    <row r="22" customFormat="false" ht="15" hidden="false" customHeight="false" outlineLevel="0" collapsed="false">
      <c r="A22" s="15" t="s">
        <v>576</v>
      </c>
    </row>
    <row r="23" customFormat="false" ht="15" hidden="false" customHeight="false" outlineLevel="0" collapsed="false">
      <c r="A23" s="15" t="s">
        <v>577</v>
      </c>
    </row>
    <row r="24" customFormat="false" ht="15" hidden="false" customHeight="false" outlineLevel="0" collapsed="false">
      <c r="A24" s="15" t="s">
        <v>578</v>
      </c>
    </row>
    <row r="25" customFormat="false" ht="15" hidden="false" customHeight="false" outlineLevel="0" collapsed="false">
      <c r="A25" s="15"/>
    </row>
    <row r="26" customFormat="false" ht="15" hidden="false" customHeight="false" outlineLevel="0" collapsed="false">
      <c r="A26" s="15" t="s">
        <v>579</v>
      </c>
    </row>
    <row r="27" customFormat="false" ht="15" hidden="false" customHeight="false" outlineLevel="0" collapsed="false">
      <c r="A27" s="15" t="s">
        <v>580</v>
      </c>
    </row>
    <row r="28" customFormat="false" ht="15" hidden="false" customHeight="false" outlineLevel="0" collapsed="false">
      <c r="A28" s="15" t="s">
        <v>581</v>
      </c>
    </row>
    <row r="29" customFormat="false" ht="15" hidden="false" customHeight="false" outlineLevel="0" collapsed="false">
      <c r="A29" s="15" t="s">
        <v>582</v>
      </c>
    </row>
    <row r="30" customFormat="false" ht="15" hidden="false" customHeight="false" outlineLevel="0" collapsed="false">
      <c r="A30" s="15" t="s">
        <v>583</v>
      </c>
    </row>
    <row r="31" customFormat="false" ht="15" hidden="false" customHeight="false" outlineLevel="0" collapsed="false">
      <c r="A31" s="15" t="s">
        <v>584</v>
      </c>
    </row>
    <row r="32" customFormat="false" ht="15" hidden="false" customHeight="false" outlineLevel="0" collapsed="false">
      <c r="A32" s="15" t="s">
        <v>585</v>
      </c>
    </row>
    <row r="33" customFormat="false" ht="15" hidden="false" customHeight="false" outlineLevel="0" collapsed="false">
      <c r="A33" s="15" t="s">
        <v>586</v>
      </c>
    </row>
    <row r="34" customFormat="false" ht="15" hidden="false" customHeight="false" outlineLevel="0" collapsed="false">
      <c r="A34" s="15" t="s">
        <v>587</v>
      </c>
    </row>
    <row r="35" customFormat="false" ht="15" hidden="false" customHeight="false" outlineLevel="0" collapsed="false">
      <c r="A35" s="15"/>
    </row>
    <row r="36" customFormat="false" ht="15" hidden="false" customHeight="false" outlineLevel="0" collapsed="false">
      <c r="A36" s="14" t="s">
        <v>588</v>
      </c>
    </row>
    <row r="37" customFormat="false" ht="15" hidden="false" customHeight="false" outlineLevel="0" collapsed="false">
      <c r="A37" s="15" t="s">
        <v>589</v>
      </c>
    </row>
    <row r="38" customFormat="false" ht="15" hidden="false" customHeight="false" outlineLevel="0" collapsed="false">
      <c r="A38" s="15" t="s">
        <v>590</v>
      </c>
    </row>
    <row r="39" customFormat="false" ht="15" hidden="false" customHeight="false" outlineLevel="0" collapsed="false">
      <c r="A39" s="15" t="s">
        <v>591</v>
      </c>
    </row>
    <row r="40" customFormat="false" ht="15" hidden="false" customHeight="false" outlineLevel="0" collapsed="false">
      <c r="A40" s="15" t="s">
        <v>592</v>
      </c>
    </row>
    <row r="41" customFormat="false" ht="15" hidden="false" customHeight="false" outlineLevel="0" collapsed="false">
      <c r="A41" s="15" t="s">
        <v>593</v>
      </c>
    </row>
    <row r="42" customFormat="false" ht="15" hidden="false" customHeight="false" outlineLevel="0" collapsed="false">
      <c r="A42" s="15" t="s">
        <v>594</v>
      </c>
    </row>
    <row r="43" customFormat="false" ht="15" hidden="false" customHeight="false" outlineLevel="0" collapsed="false">
      <c r="A43" s="15"/>
    </row>
    <row r="44" customFormat="false" ht="15" hidden="false" customHeight="false" outlineLevel="0" collapsed="false">
      <c r="A44" s="14" t="s">
        <v>595</v>
      </c>
    </row>
    <row r="45" customFormat="false" ht="15" hidden="false" customHeight="false" outlineLevel="0" collapsed="false">
      <c r="A45" s="15" t="s">
        <v>596</v>
      </c>
    </row>
    <row r="46" customFormat="false" ht="15" hidden="false" customHeight="false" outlineLevel="0" collapsed="false">
      <c r="A46" s="15" t="s">
        <v>597</v>
      </c>
    </row>
    <row r="47" customFormat="false" ht="15" hidden="false" customHeight="false" outlineLevel="0" collapsed="false">
      <c r="A47" s="15" t="s">
        <v>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2026-09-01T23:59:30Z</dcterms:created>
  <dc:creator>openpyxl</dc:creator>
  <dc:description/>
  <dc:language>en-US</dc:language>
  <cp:lastModifiedBy/>
  <dcterms:modified xsi:type="dcterms:W3CDTF">2026-09-01T23:59:30Z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